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eslamotorsinc-my.sharepoint.com/personal/maltuve_tesla_com/Documents/Documents/six sigma green belt/"/>
    </mc:Choice>
  </mc:AlternateContent>
  <xr:revisionPtr revIDLastSave="7402" documentId="8_{B551D318-1997-44FE-845E-28115192ABF2}" xr6:coauthVersionLast="47" xr6:coauthVersionMax="47" xr10:uidLastSave="{C007D4E6-E180-4622-A1E7-33FE94E0FDC8}"/>
  <bookViews>
    <workbookView xWindow="-120" yWindow="-120" windowWidth="25440" windowHeight="15270" xr2:uid="{81D38343-DF24-499D-92DA-51735C507785}"/>
  </bookViews>
  <sheets>
    <sheet name="Data" sheetId="1" r:id="rId1"/>
    <sheet name="Pivot Table" sheetId="7" r:id="rId2"/>
    <sheet name="Gap Across Operators" sheetId="4" r:id="rId3"/>
    <sheet name="Gap Across Time Shift" sheetId="5" r:id="rId4"/>
    <sheet name="Non-conformance per point" sheetId="6" r:id="rId5"/>
  </sheets>
  <definedNames>
    <definedName name="_xlnm._FilterDatabase" localSheetId="0" hidden="1">Data!$A$1:$V$1</definedName>
  </definedNames>
  <calcPr calcId="191029"/>
  <pivotCaches>
    <pivotCache cacheId="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6" l="1" a="1"/>
  <c r="B21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D3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2" i="6"/>
  <c r="Q36" i="5" l="1"/>
  <c r="Q35" i="5"/>
  <c r="Q34" i="5"/>
  <c r="Q33" i="5"/>
  <c r="Q32" i="5"/>
  <c r="Q31" i="5"/>
  <c r="Q30" i="5"/>
  <c r="Q29" i="5"/>
  <c r="P25" i="5"/>
  <c r="P24" i="5"/>
  <c r="P23" i="5"/>
  <c r="P22" i="5"/>
  <c r="P26" i="5" s="1"/>
  <c r="Q36" i="4"/>
  <c r="Q35" i="4"/>
  <c r="Q34" i="4"/>
  <c r="Q33" i="4"/>
  <c r="Q32" i="4"/>
  <c r="Q31" i="4"/>
  <c r="Q30" i="4"/>
  <c r="Q29" i="4"/>
  <c r="Q23" i="5" l="1"/>
  <c r="Q24" i="5"/>
  <c r="Q25" i="5"/>
  <c r="Q22" i="5"/>
  <c r="Q26" i="5" s="1"/>
  <c r="B17" i="6" l="1"/>
  <c r="C17" i="6" s="1"/>
  <c r="B16" i="6"/>
  <c r="B15" i="6"/>
  <c r="C15" i="6" s="1"/>
  <c r="B14" i="6"/>
  <c r="B13" i="6"/>
  <c r="C13" i="6" s="1"/>
  <c r="B12" i="6"/>
  <c r="C12" i="6" s="1"/>
  <c r="B11" i="6"/>
  <c r="B10" i="6"/>
  <c r="C10" i="6" s="1"/>
  <c r="B9" i="6"/>
  <c r="C9" i="6" s="1"/>
  <c r="B8" i="6"/>
  <c r="C8" i="6" s="1"/>
  <c r="B7" i="6"/>
  <c r="C7" i="6" s="1"/>
  <c r="B6" i="6"/>
  <c r="C6" i="6" s="1"/>
  <c r="B5" i="6"/>
  <c r="C5" i="6" s="1"/>
  <c r="B4" i="6"/>
  <c r="C4" i="6" s="1"/>
  <c r="B3" i="6"/>
  <c r="C3" i="6" s="1"/>
  <c r="B2" i="6"/>
  <c r="C16" i="6"/>
  <c r="C14" i="6"/>
  <c r="C11" i="6"/>
  <c r="E246" i="5" a="1"/>
  <c r="E246" i="5" s="1"/>
  <c r="D246" i="5" a="1"/>
  <c r="D246" i="5" s="1"/>
  <c r="C246" i="5" a="1"/>
  <c r="C246" i="5" s="1"/>
  <c r="B246" i="5" a="1"/>
  <c r="B246" i="5" s="1"/>
  <c r="E231" i="5" a="1"/>
  <c r="E231" i="5" s="1"/>
  <c r="D231" i="5" a="1"/>
  <c r="D231" i="5" s="1"/>
  <c r="C231" i="5" a="1"/>
  <c r="C231" i="5" s="1"/>
  <c r="B231" i="5" a="1"/>
  <c r="B231" i="5" s="1"/>
  <c r="E216" i="5" a="1"/>
  <c r="E216" i="5" s="1"/>
  <c r="D216" i="5" a="1"/>
  <c r="D216" i="5" s="1"/>
  <c r="C216" i="5" a="1"/>
  <c r="C216" i="5" s="1"/>
  <c r="B216" i="5" a="1"/>
  <c r="B216" i="5" s="1"/>
  <c r="E201" i="5" a="1"/>
  <c r="E201" i="5" s="1"/>
  <c r="D201" i="5" a="1"/>
  <c r="D201" i="5" s="1"/>
  <c r="C201" i="5" a="1"/>
  <c r="C201" i="5" s="1"/>
  <c r="B201" i="5" a="1"/>
  <c r="B201" i="5" s="1"/>
  <c r="E186" i="5" a="1"/>
  <c r="E186" i="5" s="1"/>
  <c r="D186" i="5" a="1"/>
  <c r="D186" i="5" s="1"/>
  <c r="C186" i="5" a="1"/>
  <c r="C186" i="5" s="1"/>
  <c r="B186" i="5" a="1"/>
  <c r="B186" i="5" s="1"/>
  <c r="E171" i="5" a="1"/>
  <c r="E171" i="5" s="1"/>
  <c r="D171" i="5" a="1"/>
  <c r="D171" i="5" s="1"/>
  <c r="C171" i="5" a="1"/>
  <c r="C171" i="5" s="1"/>
  <c r="B171" i="5" a="1"/>
  <c r="B171" i="5" s="1"/>
  <c r="E156" i="5" a="1"/>
  <c r="E156" i="5" s="1"/>
  <c r="D156" i="5" a="1"/>
  <c r="D156" i="5" s="1"/>
  <c r="C156" i="5" a="1"/>
  <c r="C156" i="5" s="1"/>
  <c r="B156" i="5" a="1"/>
  <c r="B156" i="5" s="1"/>
  <c r="E141" i="5" a="1"/>
  <c r="E141" i="5" s="1"/>
  <c r="D141" i="5" a="1"/>
  <c r="D141" i="5" s="1"/>
  <c r="C141" i="5" a="1"/>
  <c r="C141" i="5" s="1"/>
  <c r="B141" i="5" a="1"/>
  <c r="B141" i="5" s="1"/>
  <c r="E126" i="5" a="1"/>
  <c r="E126" i="5" s="1"/>
  <c r="D126" i="5" a="1"/>
  <c r="D126" i="5" s="1"/>
  <c r="C126" i="5" a="1"/>
  <c r="C126" i="5" s="1"/>
  <c r="B126" i="5" a="1"/>
  <c r="B126" i="5" s="1"/>
  <c r="E111" i="5" a="1"/>
  <c r="E111" i="5" s="1"/>
  <c r="D111" i="5" a="1"/>
  <c r="D111" i="5" s="1"/>
  <c r="C111" i="5" a="1"/>
  <c r="C111" i="5" s="1"/>
  <c r="B111" i="5" a="1"/>
  <c r="B111" i="5" s="1"/>
  <c r="E96" i="5" a="1"/>
  <c r="E96" i="5" s="1"/>
  <c r="D96" i="5" a="1"/>
  <c r="D96" i="5" s="1"/>
  <c r="C96" i="5" a="1"/>
  <c r="C96" i="5" s="1"/>
  <c r="B96" i="5" a="1"/>
  <c r="B96" i="5" s="1"/>
  <c r="E81" i="5" a="1"/>
  <c r="E81" i="5" s="1"/>
  <c r="D81" i="5" a="1"/>
  <c r="D81" i="5" s="1"/>
  <c r="C81" i="5" a="1"/>
  <c r="C81" i="5" s="1"/>
  <c r="B81" i="5" a="1"/>
  <c r="B81" i="5" s="1"/>
  <c r="E66" i="5" a="1"/>
  <c r="E66" i="5" s="1"/>
  <c r="D66" i="5" a="1"/>
  <c r="D66" i="5" s="1"/>
  <c r="C66" i="5" a="1"/>
  <c r="C66" i="5" s="1"/>
  <c r="B66" i="5" a="1"/>
  <c r="B66" i="5" s="1"/>
  <c r="E51" i="5" a="1"/>
  <c r="E51" i="5" s="1"/>
  <c r="D51" i="5" a="1"/>
  <c r="D51" i="5" s="1"/>
  <c r="C51" i="5" a="1"/>
  <c r="C51" i="5" s="1"/>
  <c r="B51" i="5" a="1"/>
  <c r="B51" i="5" s="1"/>
  <c r="E36" i="5" a="1"/>
  <c r="E36" i="5" s="1"/>
  <c r="D36" i="5" a="1"/>
  <c r="D36" i="5" s="1"/>
  <c r="C36" i="5" a="1"/>
  <c r="C36" i="5" s="1"/>
  <c r="B36" i="5" a="1"/>
  <c r="B36" i="5" s="1"/>
  <c r="E21" i="5" a="1"/>
  <c r="E21" i="5" s="1"/>
  <c r="D21" i="5" a="1"/>
  <c r="D21" i="5" s="1"/>
  <c r="C21" i="5" a="1"/>
  <c r="C21" i="5" s="1"/>
  <c r="B21" i="5" a="1"/>
  <c r="B21" i="5" s="1"/>
  <c r="E246" i="4" a="1"/>
  <c r="E246" i="4" s="1"/>
  <c r="D246" i="4" a="1"/>
  <c r="D246" i="4" s="1"/>
  <c r="C246" i="4" a="1"/>
  <c r="C246" i="4" s="1"/>
  <c r="B246" i="4" a="1"/>
  <c r="B246" i="4" s="1"/>
  <c r="E231" i="4" a="1"/>
  <c r="E231" i="4" s="1"/>
  <c r="D231" i="4" a="1"/>
  <c r="D231" i="4" s="1"/>
  <c r="C231" i="4" a="1"/>
  <c r="C231" i="4" s="1"/>
  <c r="B231" i="4" a="1"/>
  <c r="B231" i="4" s="1"/>
  <c r="E216" i="4" a="1"/>
  <c r="E216" i="4" s="1"/>
  <c r="D216" i="4" a="1"/>
  <c r="D216" i="4" s="1"/>
  <c r="C216" i="4" a="1"/>
  <c r="C216" i="4" s="1"/>
  <c r="B216" i="4" a="1"/>
  <c r="B216" i="4" s="1"/>
  <c r="E201" i="4" a="1"/>
  <c r="E201" i="4" s="1"/>
  <c r="D201" i="4" a="1"/>
  <c r="D201" i="4" s="1"/>
  <c r="C201" i="4" a="1"/>
  <c r="C201" i="4" s="1"/>
  <c r="B201" i="4" a="1"/>
  <c r="B201" i="4" s="1"/>
  <c r="E186" i="4" a="1"/>
  <c r="E186" i="4" s="1"/>
  <c r="D186" i="4" a="1"/>
  <c r="D186" i="4" s="1"/>
  <c r="C186" i="4" a="1"/>
  <c r="C186" i="4" s="1"/>
  <c r="B186" i="4" a="1"/>
  <c r="B186" i="4" s="1"/>
  <c r="E171" i="4" a="1"/>
  <c r="E171" i="4" s="1"/>
  <c r="D171" i="4" a="1"/>
  <c r="D171" i="4" s="1"/>
  <c r="C171" i="4" a="1"/>
  <c r="C171" i="4" s="1"/>
  <c r="B171" i="4" a="1"/>
  <c r="B171" i="4" s="1"/>
  <c r="E156" i="4" a="1"/>
  <c r="E156" i="4" s="1"/>
  <c r="D156" i="4" a="1"/>
  <c r="D156" i="4" s="1"/>
  <c r="C156" i="4" a="1"/>
  <c r="C156" i="4" s="1"/>
  <c r="B156" i="4" a="1"/>
  <c r="B156" i="4" s="1"/>
  <c r="E141" i="4" a="1"/>
  <c r="E141" i="4" s="1"/>
  <c r="D141" i="4" a="1"/>
  <c r="D141" i="4" s="1"/>
  <c r="C141" i="4" a="1"/>
  <c r="C141" i="4" s="1"/>
  <c r="B141" i="4" a="1"/>
  <c r="B141" i="4" s="1"/>
  <c r="E126" i="4" a="1"/>
  <c r="E126" i="4" s="1"/>
  <c r="D126" i="4" a="1"/>
  <c r="D126" i="4" s="1"/>
  <c r="C126" i="4" a="1"/>
  <c r="C126" i="4" s="1"/>
  <c r="B126" i="4" a="1"/>
  <c r="B126" i="4" s="1"/>
  <c r="E111" i="4" a="1"/>
  <c r="E111" i="4" s="1"/>
  <c r="D111" i="4" a="1"/>
  <c r="D111" i="4" s="1"/>
  <c r="C111" i="4" a="1"/>
  <c r="C111" i="4" s="1"/>
  <c r="B111" i="4" a="1"/>
  <c r="B111" i="4" s="1"/>
  <c r="E96" i="4" a="1"/>
  <c r="E96" i="4" s="1"/>
  <c r="D96" i="4" a="1"/>
  <c r="D96" i="4" s="1"/>
  <c r="C96" i="4" a="1"/>
  <c r="C96" i="4" s="1"/>
  <c r="B96" i="4" a="1"/>
  <c r="B96" i="4" s="1"/>
  <c r="E81" i="4" a="1"/>
  <c r="E81" i="4" s="1"/>
  <c r="D81" i="4" a="1"/>
  <c r="D81" i="4" s="1"/>
  <c r="C81" i="4" a="1"/>
  <c r="C81" i="4" s="1"/>
  <c r="B81" i="4" a="1"/>
  <c r="B81" i="4" s="1"/>
  <c r="E66" i="4" a="1"/>
  <c r="E66" i="4" s="1"/>
  <c r="D66" i="4" a="1"/>
  <c r="D66" i="4" s="1"/>
  <c r="C66" i="4" a="1"/>
  <c r="C66" i="4" s="1"/>
  <c r="B66" i="4" a="1"/>
  <c r="B66" i="4" s="1"/>
  <c r="E51" i="4" a="1"/>
  <c r="E51" i="4" s="1"/>
  <c r="D51" i="4" a="1"/>
  <c r="D51" i="4" s="1"/>
  <c r="C51" i="4" a="1"/>
  <c r="C51" i="4" s="1"/>
  <c r="B51" i="4" a="1"/>
  <c r="B51" i="4" s="1"/>
  <c r="E36" i="4" a="1"/>
  <c r="E36" i="4" s="1"/>
  <c r="D36" i="4" a="1"/>
  <c r="D36" i="4" s="1"/>
  <c r="C36" i="4" a="1"/>
  <c r="C36" i="4" s="1"/>
  <c r="B36" i="4" a="1"/>
  <c r="B36" i="4" s="1"/>
  <c r="E21" i="4" a="1"/>
  <c r="E21" i="4" s="1"/>
  <c r="D21" i="4" a="1"/>
  <c r="D21" i="4" s="1"/>
  <c r="P24" i="4" s="1"/>
  <c r="C21" i="4" a="1"/>
  <c r="C21" i="4" s="1"/>
  <c r="P23" i="4" s="1"/>
  <c r="B21" i="4" a="1"/>
  <c r="B21" i="4" s="1"/>
  <c r="P22" i="4" s="1"/>
  <c r="U3" i="1"/>
  <c r="V3" i="1" s="1"/>
  <c r="U4" i="1"/>
  <c r="V4" i="1" s="1"/>
  <c r="U5" i="1"/>
  <c r="V5" i="1" s="1"/>
  <c r="U6" i="1"/>
  <c r="V6" i="1" s="1"/>
  <c r="U7" i="1"/>
  <c r="V7" i="1" s="1"/>
  <c r="U8" i="1"/>
  <c r="V8" i="1" s="1"/>
  <c r="U9" i="1"/>
  <c r="V9" i="1" s="1"/>
  <c r="U10" i="1"/>
  <c r="V10" i="1" s="1"/>
  <c r="U11" i="1"/>
  <c r="V11" i="1" s="1"/>
  <c r="U12" i="1"/>
  <c r="V12" i="1" s="1"/>
  <c r="U13" i="1"/>
  <c r="V13" i="1" s="1"/>
  <c r="U14" i="1"/>
  <c r="V14" i="1" s="1"/>
  <c r="U15" i="1"/>
  <c r="V15" i="1" s="1"/>
  <c r="U16" i="1"/>
  <c r="V16" i="1" s="1"/>
  <c r="U17" i="1"/>
  <c r="V17" i="1" s="1"/>
  <c r="U18" i="1"/>
  <c r="V18" i="1" s="1"/>
  <c r="U19" i="1"/>
  <c r="V19" i="1" s="1"/>
  <c r="U20" i="1"/>
  <c r="V20" i="1" s="1"/>
  <c r="U21" i="1"/>
  <c r="V21" i="1" s="1"/>
  <c r="U22" i="1"/>
  <c r="V22" i="1" s="1"/>
  <c r="U23" i="1"/>
  <c r="V23" i="1" s="1"/>
  <c r="U24" i="1"/>
  <c r="V24" i="1" s="1"/>
  <c r="U25" i="1"/>
  <c r="V25" i="1" s="1"/>
  <c r="U26" i="1"/>
  <c r="V26" i="1" s="1"/>
  <c r="U27" i="1"/>
  <c r="V27" i="1" s="1"/>
  <c r="U28" i="1"/>
  <c r="V28" i="1" s="1"/>
  <c r="U29" i="1"/>
  <c r="V29" i="1" s="1"/>
  <c r="U30" i="1"/>
  <c r="V30" i="1" s="1"/>
  <c r="U31" i="1"/>
  <c r="V31" i="1" s="1"/>
  <c r="U32" i="1"/>
  <c r="V32" i="1" s="1"/>
  <c r="U33" i="1"/>
  <c r="V33" i="1" s="1"/>
  <c r="U34" i="1"/>
  <c r="V34" i="1" s="1"/>
  <c r="U35" i="1"/>
  <c r="V35" i="1" s="1"/>
  <c r="U36" i="1"/>
  <c r="V36" i="1" s="1"/>
  <c r="U37" i="1"/>
  <c r="V37" i="1" s="1"/>
  <c r="U38" i="1"/>
  <c r="V38" i="1" s="1"/>
  <c r="U39" i="1"/>
  <c r="V39" i="1" s="1"/>
  <c r="U40" i="1"/>
  <c r="V40" i="1" s="1"/>
  <c r="U41" i="1"/>
  <c r="V41" i="1" s="1"/>
  <c r="U42" i="1"/>
  <c r="V42" i="1" s="1"/>
  <c r="U43" i="1"/>
  <c r="V43" i="1" s="1"/>
  <c r="U44" i="1"/>
  <c r="V44" i="1" s="1"/>
  <c r="U45" i="1"/>
  <c r="V45" i="1" s="1"/>
  <c r="U46" i="1"/>
  <c r="V46" i="1" s="1"/>
  <c r="U47" i="1"/>
  <c r="V47" i="1" s="1"/>
  <c r="U48" i="1"/>
  <c r="V48" i="1" s="1"/>
  <c r="U49" i="1"/>
  <c r="V49" i="1" s="1"/>
  <c r="U50" i="1"/>
  <c r="V50" i="1" s="1"/>
  <c r="U51" i="1"/>
  <c r="V51" i="1" s="1"/>
  <c r="U52" i="1"/>
  <c r="V52" i="1" s="1"/>
  <c r="U53" i="1"/>
  <c r="V53" i="1" s="1"/>
  <c r="U54" i="1"/>
  <c r="V54" i="1" s="1"/>
  <c r="U55" i="1"/>
  <c r="V55" i="1" s="1"/>
  <c r="U56" i="1"/>
  <c r="V56" i="1" s="1"/>
  <c r="U57" i="1"/>
  <c r="V57" i="1" s="1"/>
  <c r="U58" i="1"/>
  <c r="V58" i="1" s="1"/>
  <c r="U59" i="1"/>
  <c r="V59" i="1" s="1"/>
  <c r="U60" i="1"/>
  <c r="V60" i="1" s="1"/>
  <c r="U61" i="1"/>
  <c r="V61" i="1" s="1"/>
  <c r="U2" i="1"/>
  <c r="V2" i="1" s="1"/>
  <c r="P25" i="4" l="1"/>
  <c r="P26" i="4"/>
  <c r="Q23" i="4" s="1"/>
  <c r="Q24" i="4"/>
  <c r="B18" i="6"/>
  <c r="B19" i="6" s="1"/>
  <c r="C2" i="6"/>
  <c r="Q22" i="4" l="1"/>
  <c r="Q25" i="4"/>
  <c r="Q26" i="4" l="1"/>
  <c r="B2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<sst xmlns="http://schemas.openxmlformats.org/spreadsheetml/2006/main" count="651" uniqueCount="165">
  <si>
    <t>VIN001</t>
  </si>
  <si>
    <t>Start</t>
  </si>
  <si>
    <t>D</t>
  </si>
  <si>
    <t>VIN002</t>
  </si>
  <si>
    <t>Post-morning</t>
  </si>
  <si>
    <t>VIN003</t>
  </si>
  <si>
    <t>Post-lunch</t>
  </si>
  <si>
    <t>B</t>
  </si>
  <si>
    <t>VIN004</t>
  </si>
  <si>
    <t>Post-afternoon</t>
  </si>
  <si>
    <t>VIN005</t>
  </si>
  <si>
    <t>VIN006</t>
  </si>
  <si>
    <t>A</t>
  </si>
  <si>
    <t>VIN007</t>
  </si>
  <si>
    <t>VIN008</t>
  </si>
  <si>
    <t>VIN009</t>
  </si>
  <si>
    <t>VIN010</t>
  </si>
  <si>
    <t>VIN011</t>
  </si>
  <si>
    <t>C</t>
  </si>
  <si>
    <t>VIN012</t>
  </si>
  <si>
    <t>VIN013</t>
  </si>
  <si>
    <t>VIN014</t>
  </si>
  <si>
    <t>VIN015</t>
  </si>
  <si>
    <t>VIN016</t>
  </si>
  <si>
    <t>VIN017</t>
  </si>
  <si>
    <t>VIN018</t>
  </si>
  <si>
    <t>VIN019</t>
  </si>
  <si>
    <t>VIN020</t>
  </si>
  <si>
    <t>VIN021</t>
  </si>
  <si>
    <t>VIN022</t>
  </si>
  <si>
    <t>VIN023</t>
  </si>
  <si>
    <t>VIN024</t>
  </si>
  <si>
    <t>VIN025</t>
  </si>
  <si>
    <t>VIN026</t>
  </si>
  <si>
    <t>VIN027</t>
  </si>
  <si>
    <t>VIN028</t>
  </si>
  <si>
    <t>VIN029</t>
  </si>
  <si>
    <t>VIN030</t>
  </si>
  <si>
    <t>VIN031</t>
  </si>
  <si>
    <t>VIN032</t>
  </si>
  <si>
    <t>VIN033</t>
  </si>
  <si>
    <t>VIN034</t>
  </si>
  <si>
    <t>VIN035</t>
  </si>
  <si>
    <t>VIN036</t>
  </si>
  <si>
    <t>VIN037</t>
  </si>
  <si>
    <t>VIN038</t>
  </si>
  <si>
    <t>VIN039</t>
  </si>
  <si>
    <t>VIN040</t>
  </si>
  <si>
    <t>VIN041</t>
  </si>
  <si>
    <t>VIN042</t>
  </si>
  <si>
    <t>VIN043</t>
  </si>
  <si>
    <t>VIN044</t>
  </si>
  <si>
    <t>VIN045</t>
  </si>
  <si>
    <t>VIN046</t>
  </si>
  <si>
    <t>VIN047</t>
  </si>
  <si>
    <t>VIN048</t>
  </si>
  <si>
    <t>VIN049</t>
  </si>
  <si>
    <t>VIN050</t>
  </si>
  <si>
    <t>VIN051</t>
  </si>
  <si>
    <t>VIN052</t>
  </si>
  <si>
    <t>VIN053</t>
  </si>
  <si>
    <t>VIN054</t>
  </si>
  <si>
    <t>VIN055</t>
  </si>
  <si>
    <t>VIN056</t>
  </si>
  <si>
    <t>VIN057</t>
  </si>
  <si>
    <t>VIN058</t>
  </si>
  <si>
    <t>VIN059</t>
  </si>
  <si>
    <t>VIN060</t>
  </si>
  <si>
    <t>VIN</t>
  </si>
  <si>
    <t>Day</t>
  </si>
  <si>
    <t>Shift Time</t>
  </si>
  <si>
    <t>Operator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</si>
  <si>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</si>
  <si>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</si>
  <si>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</si>
  <si>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</si>
  <si>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</si>
  <si>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</si>
  <si>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</si>
  <si>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</si>
  <si>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</si>
  <si>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</si>
  <si>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</si>
  <si>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</si>
  <si>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</si>
  <si>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</si>
  <si>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</si>
  <si>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</si>
  <si>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# Non-Conformance</t>
  </si>
  <si>
    <t>Mean</t>
  </si>
  <si>
    <t>Standard Deviation</t>
  </si>
  <si>
    <t>Non-Conformance (%)</t>
  </si>
  <si>
    <t>Point</t>
  </si>
  <si>
    <t>Cp</t>
  </si>
  <si>
    <t>Cpk</t>
  </si>
  <si>
    <t>Operator A</t>
  </si>
  <si>
    <t>Operator B</t>
  </si>
  <si>
    <t>Operator C</t>
  </si>
  <si>
    <t>Operator D</t>
  </si>
  <si>
    <t>Gaps</t>
  </si>
  <si>
    <t>Non-Conformance Count</t>
  </si>
  <si>
    <t>Total NC</t>
  </si>
  <si>
    <t>Expected NC/point</t>
  </si>
  <si>
    <t>p-value</t>
  </si>
  <si>
    <t>Chi-square statistic</t>
  </si>
  <si>
    <t>Anova: Single Factor</t>
  </si>
  <si>
    <t>SUMMARY</t>
  </si>
  <si>
    <t>Groups</t>
  </si>
  <si>
    <t>Count</t>
  </si>
  <si>
    <t>Sum</t>
  </si>
  <si>
    <t>Average</t>
  </si>
  <si>
    <t>Variance</t>
  </si>
  <si>
    <t>ANOVA</t>
  </si>
  <si>
    <t>Source of Variation</t>
  </si>
  <si>
    <t>SS</t>
  </si>
  <si>
    <t>df</t>
  </si>
  <si>
    <t>MS</t>
  </si>
  <si>
    <t>F</t>
  </si>
  <si>
    <t>P-value</t>
  </si>
  <si>
    <t>F crit</t>
  </si>
  <si>
    <t>Between Groups</t>
  </si>
  <si>
    <t>Within Groups</t>
  </si>
  <si>
    <t>Total</t>
  </si>
  <si>
    <t>ANOVA: F ≈ 4.22, p ≈ 0.005 (p &lt; 0.05, reject H0).</t>
  </si>
  <si>
    <t xml:space="preserve">Conclusion: There is  a significant difference in mean gaps across operators. </t>
  </si>
  <si>
    <t>Operator C (3.78mm) mean is higher than other operators</t>
  </si>
  <si>
    <t>ANOVA: F ≈ 6.04, p ≈ 0.0004 (p &lt; 0.05, reject H0).</t>
  </si>
  <si>
    <t xml:space="preserve">Conclusion: There is a significant difference in mean gaps across shifts. </t>
  </si>
  <si>
    <t>Post-afternoon (4.02mm) mean is higher than the rest of the time shifts</t>
  </si>
  <si>
    <t>Row Labels</t>
  </si>
  <si>
    <t>Grand Total</t>
  </si>
  <si>
    <t>Sum of # Non-Conformance</t>
  </si>
  <si>
    <t>Average of G1</t>
  </si>
  <si>
    <t>Average of G2</t>
  </si>
  <si>
    <t>Average of G3</t>
  </si>
  <si>
    <t>Average of G4</t>
  </si>
  <si>
    <t>Average of G5</t>
  </si>
  <si>
    <t>Average of G6</t>
  </si>
  <si>
    <t>Average of G7</t>
  </si>
  <si>
    <t>Average of G8</t>
  </si>
  <si>
    <t>Average of G9</t>
  </si>
  <si>
    <t>Average of G10</t>
  </si>
  <si>
    <t>Average of G11</t>
  </si>
  <si>
    <t>Average of G12</t>
  </si>
  <si>
    <t>Average of G13</t>
  </si>
  <si>
    <t>Average of G14</t>
  </si>
  <si>
    <t>Average of G15</t>
  </si>
  <si>
    <t>Average of G16</t>
  </si>
  <si>
    <t>Standard Error</t>
  </si>
  <si>
    <t>Median</t>
  </si>
  <si>
    <t>Mode</t>
  </si>
  <si>
    <t>Sample Variance</t>
  </si>
  <si>
    <t>Kurtosis</t>
  </si>
  <si>
    <t>Skewness</t>
  </si>
  <si>
    <t>Range</t>
  </si>
  <si>
    <t>Minimum</t>
  </si>
  <si>
    <t>Maximum</t>
  </si>
  <si>
    <t>Non-Conformance Across Operators</t>
  </si>
  <si>
    <t>Process Capability by Operator</t>
  </si>
  <si>
    <t>Non-Conformance Across Time Shift</t>
  </si>
  <si>
    <t>Time Shift</t>
  </si>
  <si>
    <t>Process Capability by Time Shift</t>
  </si>
  <si>
    <t>Conformance Count</t>
  </si>
  <si>
    <t>Expected Non-Conformance</t>
  </si>
  <si>
    <r>
      <rPr>
        <b/>
        <sz val="11"/>
        <color theme="1"/>
        <rFont val="Aptos Narrow"/>
        <family val="2"/>
        <scheme val="minor"/>
      </rPr>
      <t>Results</t>
    </r>
    <r>
      <rPr>
        <sz val="11"/>
        <color theme="1"/>
        <rFont val="Aptos Narrow"/>
        <family val="2"/>
        <scheme val="minor"/>
      </rPr>
      <t xml:space="preserve">: Chi-square ≈ 392, p &lt; 0.05 (reject H0). G5–G8 (RH side) have significantly higher non-conformance.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</si>
</sst>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E+00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8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79">
    <xf numFmtId="0" fontId="0" fillId="0" borderId="0" xfId="0"/>
    <xf numFmtId="0" fontId="5" fillId="0" borderId="0" xfId="0" applyFont="1" applyAlignment="1">
      <alignment vertical="center"/>
    </xf>
    <xf numFmtId="0" fontId="0" fillId="0" borderId="0" xfId="0" applyAlignment="1">
      <alignment wrapText="1"/>
    </xf>
    <xf numFmtId="0" fontId="4" fillId="0" borderId="1" xfId="0" applyFont="1" applyBorder="1"/>
    <xf numFmtId="0" fontId="4" fillId="0" borderId="0" xfId="0" applyFon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10" fontId="0" fillId="0" borderId="1" xfId="1" applyNumberFormat="1" applyFont="1" applyBorder="1"/>
    <xf numFmtId="9" fontId="0" fillId="0" borderId="1" xfId="1" applyFont="1" applyBorder="1"/>
    <xf numFmtId="2" fontId="2" fillId="2" borderId="0" xfId="2" applyNumberFormat="1"/>
    <xf numFmtId="0" fontId="9" fillId="0" borderId="1" xfId="0" applyFont="1" applyBorder="1"/>
    <xf numFmtId="0" fontId="4" fillId="0" borderId="2" xfId="0" applyFont="1" applyBorder="1"/>
    <xf numFmtId="0" fontId="1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9" fontId="12" fillId="0" borderId="1" xfId="1" applyFont="1" applyBorder="1" applyAlignment="1">
      <alignment vertical="center" wrapText="1"/>
    </xf>
    <xf numFmtId="0" fontId="7" fillId="0" borderId="6" xfId="0" applyFont="1" applyBorder="1" applyAlignment="1">
      <alignment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vertical="center" wrapText="1"/>
    </xf>
    <xf numFmtId="0" fontId="0" fillId="0" borderId="11" xfId="0" applyBorder="1"/>
    <xf numFmtId="0" fontId="8" fillId="0" borderId="12" xfId="0" applyFont="1" applyBorder="1" applyAlignment="1">
      <alignment vertical="center" wrapText="1"/>
    </xf>
    <xf numFmtId="0" fontId="12" fillId="0" borderId="13" xfId="0" applyFont="1" applyBorder="1" applyAlignment="1">
      <alignment vertical="center" wrapText="1"/>
    </xf>
    <xf numFmtId="9" fontId="12" fillId="0" borderId="13" xfId="1" applyFont="1" applyBorder="1" applyAlignment="1">
      <alignment vertical="center" wrapText="1"/>
    </xf>
    <xf numFmtId="0" fontId="0" fillId="0" borderId="0" xfId="0" applyFill="1" applyBorder="1" applyAlignment="1"/>
    <xf numFmtId="0" fontId="0" fillId="0" borderId="15" xfId="0" applyFill="1" applyBorder="1" applyAlignment="1"/>
    <xf numFmtId="0" fontId="13" fillId="0" borderId="16" xfId="0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/>
    <xf numFmtId="164" fontId="0" fillId="0" borderId="0" xfId="0" applyNumberFormat="1" applyFill="1" applyBorder="1" applyAlignment="1"/>
    <xf numFmtId="165" fontId="0" fillId="0" borderId="0" xfId="0" applyNumberFormat="1" applyFill="1" applyBorder="1" applyAlignment="1"/>
    <xf numFmtId="2" fontId="0" fillId="0" borderId="0" xfId="0" applyNumberFormat="1" applyFill="1" applyBorder="1" applyAlignment="1"/>
    <xf numFmtId="2" fontId="0" fillId="0" borderId="15" xfId="0" applyNumberFormat="1" applyFill="1" applyBorder="1" applyAlignment="1"/>
    <xf numFmtId="166" fontId="0" fillId="0" borderId="0" xfId="0" applyNumberFormat="1"/>
    <xf numFmtId="0" fontId="0" fillId="0" borderId="0" xfId="0" applyAlignment="1"/>
    <xf numFmtId="2" fontId="2" fillId="2" borderId="1" xfId="2" applyNumberFormat="1" applyBorder="1"/>
    <xf numFmtId="10" fontId="0" fillId="0" borderId="11" xfId="1" applyNumberFormat="1" applyFont="1" applyBorder="1"/>
    <xf numFmtId="2" fontId="2" fillId="2" borderId="13" xfId="2" applyNumberFormat="1" applyBorder="1"/>
    <xf numFmtId="0" fontId="0" fillId="0" borderId="13" xfId="0" applyBorder="1"/>
    <xf numFmtId="10" fontId="0" fillId="0" borderId="14" xfId="1" applyNumberFormat="1" applyFont="1" applyBorder="1"/>
    <xf numFmtId="0" fontId="0" fillId="0" borderId="10" xfId="0" applyBorder="1"/>
    <xf numFmtId="0" fontId="0" fillId="0" borderId="12" xfId="0" applyBorder="1"/>
    <xf numFmtId="0" fontId="0" fillId="0" borderId="17" xfId="0" applyBorder="1"/>
    <xf numFmtId="0" fontId="0" fillId="0" borderId="2" xfId="0" applyBorder="1"/>
    <xf numFmtId="2" fontId="2" fillId="2" borderId="2" xfId="2" applyNumberFormat="1" applyBorder="1"/>
    <xf numFmtId="10" fontId="0" fillId="0" borderId="18" xfId="1" applyNumberFormat="1" applyFont="1" applyBorder="1"/>
    <xf numFmtId="0" fontId="4" fillId="0" borderId="19" xfId="0" applyFont="1" applyBorder="1"/>
    <xf numFmtId="0" fontId="4" fillId="0" borderId="20" xfId="0" applyFont="1" applyBorder="1"/>
    <xf numFmtId="0" fontId="4" fillId="0" borderId="2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0" fontId="0" fillId="0" borderId="1" xfId="1" applyNumberFormat="1" applyFont="1" applyFill="1" applyBorder="1"/>
    <xf numFmtId="0" fontId="0" fillId="0" borderId="8" xfId="0" applyBorder="1"/>
    <xf numFmtId="2" fontId="0" fillId="0" borderId="9" xfId="0" applyNumberFormat="1" applyBorder="1"/>
    <xf numFmtId="2" fontId="0" fillId="0" borderId="11" xfId="0" applyNumberFormat="1" applyBorder="1"/>
    <xf numFmtId="2" fontId="0" fillId="0" borderId="14" xfId="0" applyNumberFormat="1" applyBorder="1"/>
    <xf numFmtId="0" fontId="0" fillId="0" borderId="10" xfId="0" applyFill="1" applyBorder="1" applyAlignment="1"/>
    <xf numFmtId="0" fontId="0" fillId="0" borderId="11" xfId="0" applyFill="1" applyBorder="1" applyAlignment="1"/>
    <xf numFmtId="2" fontId="0" fillId="0" borderId="11" xfId="0" applyNumberFormat="1" applyFill="1" applyBorder="1" applyAlignment="1"/>
    <xf numFmtId="0" fontId="0" fillId="0" borderId="12" xfId="0" applyFill="1" applyBorder="1" applyAlignment="1"/>
    <xf numFmtId="2" fontId="0" fillId="0" borderId="14" xfId="0" applyNumberFormat="1" applyFill="1" applyBorder="1" applyAlignment="1"/>
    <xf numFmtId="0" fontId="0" fillId="0" borderId="22" xfId="0" applyFill="1" applyBorder="1" applyAlignment="1"/>
    <xf numFmtId="0" fontId="0" fillId="0" borderId="23" xfId="0" applyFill="1" applyBorder="1" applyAlignment="1"/>
    <xf numFmtId="0" fontId="4" fillId="0" borderId="1" xfId="0" applyFont="1" applyBorder="1" applyAlignment="1">
      <alignment horizontal="center" vertical="center"/>
    </xf>
    <xf numFmtId="10" fontId="0" fillId="0" borderId="7" xfId="1" applyNumberFormat="1" applyFont="1" applyFill="1" applyBorder="1" applyAlignment="1">
      <alignment horizontal="center" vertical="center"/>
    </xf>
    <xf numFmtId="10" fontId="0" fillId="0" borderId="10" xfId="1" applyNumberFormat="1" applyFont="1" applyFill="1" applyBorder="1" applyAlignment="1">
      <alignment horizontal="center" vertical="center"/>
    </xf>
    <xf numFmtId="10" fontId="0" fillId="0" borderId="12" xfId="1" applyNumberFormat="1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0" fillId="3" borderId="3" xfId="3" applyFont="1" applyBorder="1" applyAlignment="1">
      <alignment horizontal="center"/>
    </xf>
    <xf numFmtId="0" fontId="10" fillId="3" borderId="4" xfId="3" applyFont="1" applyBorder="1" applyAlignment="1">
      <alignment horizontal="center"/>
    </xf>
    <xf numFmtId="0" fontId="10" fillId="3" borderId="5" xfId="3" applyFont="1" applyBorder="1" applyAlignment="1">
      <alignment horizontal="center"/>
    </xf>
    <xf numFmtId="0" fontId="13" fillId="0" borderId="24" xfId="0" applyFont="1" applyFill="1" applyBorder="1" applyAlignment="1">
      <alignment horizontal="center"/>
    </xf>
    <xf numFmtId="0" fontId="13" fillId="0" borderId="25" xfId="0" applyFont="1" applyFill="1" applyBorder="1" applyAlignment="1">
      <alignment horizontal="center"/>
    </xf>
  </cellXfs>
  <cellStyles count="4">
    <cellStyle name="Bad" xfId="2" builtinId="27"/>
    <cellStyle name="Neutral" xfId="3" builtinId="28"/>
    <cellStyle name="Normal" xfId="0" builtinId="0"/>
    <cellStyle name="Percent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guel Altuve" refreshedDate="45927.618650925928" createdVersion="8" refreshedVersion="8" minRefreshableVersion="3" recordCount="60" xr:uid="{14485FC8-8730-452C-8A1D-F7E664EA6CBB}">
  <cacheSource type="worksheet">
    <worksheetSource ref="A1:V61" sheet="Data"/>
  </cacheSource>
  <cacheFields count="22">
    <cacheField name="VIN" numFmtId="0">
      <sharedItems/>
    </cacheField>
    <cacheField name="Day" numFmtId="0">
      <sharedItems containsSemiMixedTypes="0" containsString="0" containsNumber="1" containsInteger="1" minValue="1" maxValue="5"/>
    </cacheField>
    <cacheField name="Shift Time" numFmtId="0">
      <sharedItems count="4">
        <s v="Start"/>
        <s v="Post-morning"/>
        <s v="Post-lunch"/>
        <s v="Post-afternoon"/>
      </sharedItems>
    </cacheField>
    <cacheField name="Operator" numFmtId="0">
      <sharedItems count="4">
        <s v="A"/>
        <s v="D"/>
        <s v="B"/>
        <s v="C"/>
      </sharedItems>
    </cacheField>
    <cacheField name="G1" numFmtId="2">
      <sharedItems containsSemiMixedTypes="0" containsString="0" containsNumber="1" minValue="2" maxValue="4.42"/>
    </cacheField>
    <cacheField name="G2" numFmtId="2">
      <sharedItems containsSemiMixedTypes="0" containsString="0" containsNumber="1" minValue="2" maxValue="4.7300000000000004"/>
    </cacheField>
    <cacheField name="G3" numFmtId="2">
      <sharedItems containsSemiMixedTypes="0" containsString="0" containsNumber="1" minValue="2" maxValue="4.2300000000000004"/>
    </cacheField>
    <cacheField name="G4" numFmtId="2">
      <sharedItems containsSemiMixedTypes="0" containsString="0" containsNumber="1" minValue="2" maxValue="4.72"/>
    </cacheField>
    <cacheField name="G5" numFmtId="2">
      <sharedItems containsSemiMixedTypes="0" containsString="0" containsNumber="1" minValue="3.9" maxValue="7.63"/>
    </cacheField>
    <cacheField name="G6" numFmtId="2">
      <sharedItems containsSemiMixedTypes="0" containsString="0" containsNumber="1" minValue="3.08" maxValue="6.31"/>
    </cacheField>
    <cacheField name="G7" numFmtId="2">
      <sharedItems containsSemiMixedTypes="0" containsString="0" containsNumber="1" minValue="3.73" maxValue="6.48"/>
    </cacheField>
    <cacheField name="G8" numFmtId="2">
      <sharedItems containsSemiMixedTypes="0" containsString="0" containsNumber="1" minValue="2.86" maxValue="6.5"/>
    </cacheField>
    <cacheField name="G9" numFmtId="2">
      <sharedItems containsSemiMixedTypes="0" containsString="0" containsNumber="1" minValue="2.78" maxValue="4.5"/>
    </cacheField>
    <cacheField name="G10" numFmtId="2">
      <sharedItems containsSemiMixedTypes="0" containsString="0" containsNumber="1" minValue="3" maxValue="5.08"/>
    </cacheField>
    <cacheField name="G11" numFmtId="2">
      <sharedItems containsSemiMixedTypes="0" containsString="0" containsNumber="1" minValue="2.91" maxValue="4.5"/>
    </cacheField>
    <cacheField name="G12" numFmtId="2">
      <sharedItems containsSemiMixedTypes="0" containsString="0" containsNumber="1" minValue="2.8" maxValue="4.42"/>
    </cacheField>
    <cacheField name="G13" numFmtId="2">
      <sharedItems containsSemiMixedTypes="0" containsString="0" containsNumber="1" minValue="2" maxValue="4.2300000000000004"/>
    </cacheField>
    <cacheField name="G14" numFmtId="2">
      <sharedItems containsSemiMixedTypes="0" containsString="0" containsNumber="1" minValue="2" maxValue="4.32"/>
    </cacheField>
    <cacheField name="G15" numFmtId="2">
      <sharedItems containsSemiMixedTypes="0" containsString="0" containsNumber="1" minValue="2.61" maxValue="4.45"/>
    </cacheField>
    <cacheField name="G16" numFmtId="2">
      <sharedItems containsSemiMixedTypes="0" containsString="0" containsNumber="1" minValue="2.6" maxValue="4.8499999999999996"/>
    </cacheField>
    <cacheField name="# Non-Conformance" numFmtId="0">
      <sharedItems containsSemiMixedTypes="0" containsString="0" containsNumber="1" containsInteger="1" minValue="2" maxValue="10"/>
    </cacheField>
    <cacheField name="Non-Conformance (%)" numFmtId="10">
      <sharedItems containsSemiMixedTypes="0" containsString="0" containsNumber="1" minValue="0.125" maxValue="0.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IN001"/>
    <n v="1"/>
    <x v="0"/>
    <x v="0"/>
    <n v="2"/>
    <n v="3.34"/>
    <n v="2.91"/>
    <n v="3.07"/>
    <n v="4.3099999999999996"/>
    <n v="4.45"/>
    <n v="4.67"/>
    <n v="3.82"/>
    <n v="3.1"/>
    <n v="3.75"/>
    <n v="3.21"/>
    <n v="3.17"/>
    <n v="3.19"/>
    <n v="3.33"/>
    <n v="3.64"/>
    <n v="3.37"/>
    <n v="3"/>
    <n v="0.1875"/>
  </r>
  <r>
    <s v="VIN002"/>
    <n v="1"/>
    <x v="0"/>
    <x v="1"/>
    <n v="3"/>
    <n v="3.49"/>
    <n v="3.45"/>
    <n v="3.49"/>
    <n v="4.6399999999999997"/>
    <n v="5.34"/>
    <n v="3.81"/>
    <n v="5.01"/>
    <n v="3.57"/>
    <n v="3.76"/>
    <n v="3.74"/>
    <n v="3.71"/>
    <n v="3.7"/>
    <n v="2.92"/>
    <n v="2.61"/>
    <n v="3.3"/>
    <n v="3"/>
    <n v="0.1875"/>
  </r>
  <r>
    <s v="VIN003"/>
    <n v="1"/>
    <x v="0"/>
    <x v="2"/>
    <n v="3.9"/>
    <n v="3.71"/>
    <n v="3.4"/>
    <n v="3.81"/>
    <n v="4.2699999999999996"/>
    <n v="4.7699999999999996"/>
    <n v="5.6"/>
    <n v="4.34"/>
    <n v="3.36"/>
    <n v="3.22"/>
    <n v="4.0199999999999996"/>
    <n v="3.61"/>
    <n v="3.31"/>
    <n v="3.44"/>
    <n v="2.94"/>
    <n v="3.81"/>
    <n v="5"/>
    <n v="0.3125"/>
  </r>
  <r>
    <s v="VIN004"/>
    <n v="1"/>
    <x v="1"/>
    <x v="2"/>
    <n v="3.9"/>
    <n v="3.75"/>
    <n v="3.38"/>
    <n v="3.38"/>
    <n v="3.93"/>
    <n v="5.0599999999999996"/>
    <n v="5.15"/>
    <n v="4.83"/>
    <n v="3.93"/>
    <n v="3.28"/>
    <n v="3.97"/>
    <n v="3.39"/>
    <n v="3.13"/>
    <n v="3.75"/>
    <n v="3.9"/>
    <n v="3.39"/>
    <n v="3"/>
    <n v="0.1875"/>
  </r>
  <r>
    <s v="VIN005"/>
    <n v="1"/>
    <x v="1"/>
    <x v="0"/>
    <n v="3.24"/>
    <n v="2"/>
    <n v="3.92"/>
    <n v="3.54"/>
    <n v="5"/>
    <n v="5.78"/>
    <n v="5.53"/>
    <n v="4.3499999999999996"/>
    <n v="3.39"/>
    <n v="3.36"/>
    <n v="3.65"/>
    <n v="2.8"/>
    <n v="3.52"/>
    <n v="3.32"/>
    <n v="3.3"/>
    <n v="3.32"/>
    <n v="4"/>
    <n v="0.25"/>
  </r>
  <r>
    <s v="VIN006"/>
    <n v="1"/>
    <x v="1"/>
    <x v="1"/>
    <n v="3.98"/>
    <n v="2.1"/>
    <n v="3.39"/>
    <n v="3"/>
    <n v="5.27"/>
    <n v="3.96"/>
    <n v="5.43"/>
    <n v="5.95"/>
    <n v="2.78"/>
    <n v="3.61"/>
    <n v="3.67"/>
    <n v="2.96"/>
    <n v="3.19"/>
    <n v="3.3"/>
    <n v="3.78"/>
    <n v="3.4"/>
    <n v="3"/>
    <n v="0.1875"/>
  </r>
  <r>
    <s v="VIN007"/>
    <n v="1"/>
    <x v="2"/>
    <x v="2"/>
    <n v="3.81"/>
    <n v="3.9"/>
    <n v="3.56"/>
    <n v="3.86"/>
    <n v="4.9000000000000004"/>
    <n v="4.12"/>
    <n v="4.41"/>
    <n v="4.9400000000000004"/>
    <n v="3.49"/>
    <n v="3.62"/>
    <n v="3.35"/>
    <n v="2.98"/>
    <n v="3.61"/>
    <n v="3.44"/>
    <n v="3.43"/>
    <n v="3.69"/>
    <n v="4"/>
    <n v="0.25"/>
  </r>
  <r>
    <s v="VIN008"/>
    <n v="1"/>
    <x v="2"/>
    <x v="1"/>
    <n v="3.19"/>
    <n v="3.5"/>
    <n v="2.99"/>
    <n v="3.73"/>
    <n v="3.99"/>
    <n v="5.75"/>
    <n v="4.4800000000000004"/>
    <n v="4.0999999999999996"/>
    <n v="3.69"/>
    <n v="3.98"/>
    <n v="4.03"/>
    <n v="3.82"/>
    <n v="3.27"/>
    <n v="3.9"/>
    <n v="3.33"/>
    <n v="3.79"/>
    <n v="4"/>
    <n v="0.25"/>
  </r>
  <r>
    <s v="VIN009"/>
    <n v="1"/>
    <x v="2"/>
    <x v="3"/>
    <n v="3.65"/>
    <n v="3.65"/>
    <n v="2"/>
    <n v="3.73"/>
    <n v="5.91"/>
    <n v="3.93"/>
    <n v="4.6399999999999997"/>
    <n v="5.59"/>
    <n v="3.96"/>
    <n v="4.24"/>
    <n v="4.0999999999999996"/>
    <n v="4.4000000000000004"/>
    <n v="3.72"/>
    <n v="4.32"/>
    <n v="4.07"/>
    <n v="4.4000000000000004"/>
    <n v="9"/>
    <n v="0.5625"/>
  </r>
  <r>
    <s v="VIN010"/>
    <n v="1"/>
    <x v="3"/>
    <x v="3"/>
    <n v="3.8"/>
    <n v="4.7300000000000004"/>
    <n v="2"/>
    <n v="4.72"/>
    <n v="3.95"/>
    <n v="4.66"/>
    <n v="5.1100000000000003"/>
    <n v="6.17"/>
    <n v="3.01"/>
    <n v="3.51"/>
    <n v="3.38"/>
    <n v="3.78"/>
    <n v="3.39"/>
    <n v="3.61"/>
    <n v="2.77"/>
    <n v="4.41"/>
    <n v="6"/>
    <n v="0.375"/>
  </r>
  <r>
    <s v="VIN011"/>
    <n v="1"/>
    <x v="3"/>
    <x v="2"/>
    <n v="4.42"/>
    <n v="4"/>
    <n v="3.91"/>
    <n v="4.26"/>
    <n v="7.63"/>
    <n v="4.47"/>
    <n v="4.9400000000000004"/>
    <n v="4.18"/>
    <n v="4.0999999999999996"/>
    <n v="4.0599999999999996"/>
    <n v="4.42"/>
    <n v="3.51"/>
    <n v="4.2300000000000004"/>
    <n v="3.67"/>
    <n v="3.5"/>
    <n v="3.71"/>
    <n v="10"/>
    <n v="0.625"/>
  </r>
  <r>
    <s v="VIN012"/>
    <n v="1"/>
    <x v="3"/>
    <x v="0"/>
    <n v="3.89"/>
    <n v="3.62"/>
    <n v="3.9"/>
    <n v="3.66"/>
    <n v="6.06"/>
    <n v="3.08"/>
    <n v="4.99"/>
    <n v="4.78"/>
    <n v="3.96"/>
    <n v="3.4"/>
    <n v="3.23"/>
    <n v="3.62"/>
    <n v="3.9"/>
    <n v="3.11"/>
    <n v="3.49"/>
    <n v="4.16"/>
    <n v="4"/>
    <n v="0.25"/>
  </r>
  <r>
    <s v="VIN013"/>
    <n v="2"/>
    <x v="0"/>
    <x v="2"/>
    <n v="3.01"/>
    <n v="3.42"/>
    <n v="3"/>
    <n v="2"/>
    <n v="5.35"/>
    <n v="5.03"/>
    <n v="4.55"/>
    <n v="3.7"/>
    <n v="3.48"/>
    <n v="3.31"/>
    <n v="3.78"/>
    <n v="3.2"/>
    <n v="3.13"/>
    <n v="3.25"/>
    <n v="3.31"/>
    <n v="3.21"/>
    <n v="3"/>
    <n v="0.1875"/>
  </r>
  <r>
    <s v="VIN014"/>
    <n v="2"/>
    <x v="0"/>
    <x v="3"/>
    <n v="3.92"/>
    <n v="3.8"/>
    <n v="3.68"/>
    <n v="4.13"/>
    <n v="5.03"/>
    <n v="5.04"/>
    <n v="5.31"/>
    <n v="4.46"/>
    <n v="3.53"/>
    <n v="3.58"/>
    <n v="4.04"/>
    <n v="3.3"/>
    <n v="3.58"/>
    <n v="3.65"/>
    <n v="3.28"/>
    <n v="3.03"/>
    <n v="6"/>
    <n v="0.375"/>
  </r>
  <r>
    <s v="VIN015"/>
    <n v="2"/>
    <x v="0"/>
    <x v="1"/>
    <n v="3.4"/>
    <n v="3.19"/>
    <n v="3.17"/>
    <n v="3.9"/>
    <n v="4.91"/>
    <n v="4.58"/>
    <n v="4.0599999999999996"/>
    <n v="4.13"/>
    <n v="3.13"/>
    <n v="3.66"/>
    <n v="3.08"/>
    <n v="4.1500000000000004"/>
    <n v="3.43"/>
    <n v="3.44"/>
    <n v="3.65"/>
    <n v="3.9"/>
    <n v="5"/>
    <n v="0.3125"/>
  </r>
  <r>
    <s v="VIN016"/>
    <n v="2"/>
    <x v="1"/>
    <x v="1"/>
    <n v="2.79"/>
    <n v="3.55"/>
    <n v="3.64"/>
    <n v="3.8"/>
    <n v="4.79"/>
    <n v="4.3099999999999996"/>
    <n v="5.0599999999999996"/>
    <n v="5.83"/>
    <n v="3.73"/>
    <n v="3.21"/>
    <n v="3.61"/>
    <n v="3.9"/>
    <n v="3.61"/>
    <n v="3.39"/>
    <n v="3.88"/>
    <n v="3.65"/>
    <n v="4"/>
    <n v="0.25"/>
  </r>
  <r>
    <s v="VIN017"/>
    <n v="2"/>
    <x v="1"/>
    <x v="2"/>
    <n v="3.62"/>
    <n v="3.38"/>
    <n v="3.26"/>
    <n v="3.26"/>
    <n v="4.09"/>
    <n v="4.97"/>
    <n v="5.0199999999999996"/>
    <n v="4.72"/>
    <n v="2.95"/>
    <n v="3.28"/>
    <n v="3.99"/>
    <n v="3.34"/>
    <n v="3.47"/>
    <n v="3.37"/>
    <n v="3.75"/>
    <n v="3.53"/>
    <n v="4"/>
    <n v="0.25"/>
  </r>
  <r>
    <s v="VIN018"/>
    <n v="2"/>
    <x v="1"/>
    <x v="0"/>
    <n v="3.15"/>
    <n v="3.61"/>
    <n v="3.25"/>
    <n v="3.56"/>
    <n v="4.5"/>
    <n v="4.87"/>
    <n v="3.73"/>
    <n v="5.0999999999999996"/>
    <n v="2.9"/>
    <n v="3.1"/>
    <n v="3.3"/>
    <n v="2.84"/>
    <n v="3.78"/>
    <n v="3.59"/>
    <n v="3.72"/>
    <n v="3.22"/>
    <n v="3"/>
    <n v="0.1875"/>
  </r>
  <r>
    <s v="VIN019"/>
    <n v="2"/>
    <x v="2"/>
    <x v="2"/>
    <n v="3.84"/>
    <n v="3.2"/>
    <n v="3.62"/>
    <n v="3.52"/>
    <n v="4.5"/>
    <n v="5.4"/>
    <n v="4.9000000000000004"/>
    <n v="5.25"/>
    <n v="3.8"/>
    <n v="3.74"/>
    <n v="3.04"/>
    <n v="3.88"/>
    <n v="3.66"/>
    <n v="3.9"/>
    <n v="3.26"/>
    <n v="3.9"/>
    <n v="4"/>
    <n v="0.25"/>
  </r>
  <r>
    <s v="VIN020"/>
    <n v="2"/>
    <x v="2"/>
    <x v="0"/>
    <n v="3.54"/>
    <n v="3.61"/>
    <n v="3.84"/>
    <n v="3.69"/>
    <n v="4.5"/>
    <n v="4.62"/>
    <n v="4.3899999999999997"/>
    <n v="4.42"/>
    <n v="3.22"/>
    <n v="3.56"/>
    <n v="3.9"/>
    <n v="3.58"/>
    <n v="3.73"/>
    <n v="3.86"/>
    <n v="3.62"/>
    <n v="3.57"/>
    <n v="4"/>
    <n v="0.25"/>
  </r>
  <r>
    <s v="VIN021"/>
    <n v="2"/>
    <x v="2"/>
    <x v="3"/>
    <n v="4"/>
    <n v="3.62"/>
    <n v="3.27"/>
    <n v="4.28"/>
    <n v="3.96"/>
    <n v="3.73"/>
    <n v="5.4"/>
    <n v="5.26"/>
    <n v="3.08"/>
    <n v="4.3099999999999996"/>
    <n v="4.37"/>
    <n v="4.01"/>
    <n v="3.78"/>
    <n v="3.97"/>
    <n v="3.95"/>
    <n v="3.93"/>
    <n v="6"/>
    <n v="0.375"/>
  </r>
  <r>
    <s v="VIN022"/>
    <n v="2"/>
    <x v="3"/>
    <x v="1"/>
    <n v="4.0199999999999996"/>
    <n v="4.1900000000000004"/>
    <n v="3.67"/>
    <n v="3.8"/>
    <n v="4.53"/>
    <n v="5"/>
    <n v="4.66"/>
    <n v="4.22"/>
    <n v="2.91"/>
    <n v="3.44"/>
    <n v="3.09"/>
    <n v="3.82"/>
    <n v="3.75"/>
    <n v="3.89"/>
    <n v="3.86"/>
    <n v="3.02"/>
    <n v="6"/>
    <n v="0.375"/>
  </r>
  <r>
    <s v="VIN023"/>
    <n v="2"/>
    <x v="3"/>
    <x v="0"/>
    <n v="4.0599999999999996"/>
    <n v="3.71"/>
    <n v="3.65"/>
    <n v="3.35"/>
    <n v="3.9"/>
    <n v="4.71"/>
    <n v="5.46"/>
    <n v="4.84"/>
    <n v="3.4"/>
    <n v="3.98"/>
    <n v="2.91"/>
    <n v="3.78"/>
    <n v="3.41"/>
    <n v="3.63"/>
    <n v="3.9"/>
    <n v="3.78"/>
    <n v="4"/>
    <n v="0.25"/>
  </r>
  <r>
    <s v="VIN024"/>
    <n v="2"/>
    <x v="3"/>
    <x v="2"/>
    <n v="3.75"/>
    <n v="3.11"/>
    <n v="3.97"/>
    <n v="3.66"/>
    <n v="5.19"/>
    <n v="5"/>
    <n v="4.84"/>
    <n v="5.3"/>
    <n v="4.0199999999999996"/>
    <n v="3.9"/>
    <n v="3.4"/>
    <n v="3.29"/>
    <n v="3.25"/>
    <n v="4.04"/>
    <n v="4.2300000000000004"/>
    <n v="3.58"/>
    <n v="7"/>
    <n v="0.4375"/>
  </r>
  <r>
    <s v="VIN025"/>
    <n v="3"/>
    <x v="0"/>
    <x v="2"/>
    <n v="3.38"/>
    <n v="3.62"/>
    <n v="3.2"/>
    <n v="3.03"/>
    <n v="4.37"/>
    <n v="4.66"/>
    <n v="5"/>
    <n v="3.45"/>
    <n v="3.03"/>
    <n v="3.48"/>
    <n v="3.97"/>
    <n v="3.59"/>
    <n v="3.46"/>
    <n v="3.43"/>
    <n v="3.32"/>
    <n v="3.07"/>
    <n v="3"/>
    <n v="0.1875"/>
  </r>
  <r>
    <s v="VIN026"/>
    <n v="3"/>
    <x v="0"/>
    <x v="1"/>
    <n v="3.95"/>
    <n v="3.6"/>
    <n v="3.88"/>
    <n v="3.1"/>
    <n v="4.5"/>
    <n v="6.31"/>
    <n v="4.0999999999999996"/>
    <n v="3.77"/>
    <n v="3.2"/>
    <n v="3.09"/>
    <n v="3.48"/>
    <n v="2.95"/>
    <n v="3.76"/>
    <n v="3.63"/>
    <n v="3.19"/>
    <n v="3.75"/>
    <n v="3"/>
    <n v="0.1875"/>
  </r>
  <r>
    <s v="VIN027"/>
    <n v="3"/>
    <x v="0"/>
    <x v="0"/>
    <n v="3.15"/>
    <n v="3.9"/>
    <n v="3.31"/>
    <n v="3.31"/>
    <n v="4.45"/>
    <n v="4.24"/>
    <n v="4.6399999999999997"/>
    <n v="4.66"/>
    <n v="3.29"/>
    <n v="3.39"/>
    <n v="3.9"/>
    <n v="3.15"/>
    <n v="3.4"/>
    <n v="3.9"/>
    <n v="3.35"/>
    <n v="3.03"/>
    <n v="4"/>
    <n v="0.25"/>
  </r>
  <r>
    <s v="VIN028"/>
    <n v="3"/>
    <x v="1"/>
    <x v="0"/>
    <n v="3.49"/>
    <n v="3.5"/>
    <n v="3.67"/>
    <n v="3.59"/>
    <n v="4.01"/>
    <n v="4.37"/>
    <n v="4.5"/>
    <n v="5.47"/>
    <n v="4.5"/>
    <n v="3.93"/>
    <n v="3.48"/>
    <n v="3.18"/>
    <n v="2.94"/>
    <n v="3.38"/>
    <n v="3.09"/>
    <n v="3.61"/>
    <n v="5"/>
    <n v="0.3125"/>
  </r>
  <r>
    <s v="VIN029"/>
    <n v="3"/>
    <x v="1"/>
    <x v="2"/>
    <n v="3.43"/>
    <n v="3.55"/>
    <n v="3.44"/>
    <n v="3.22"/>
    <n v="5.43"/>
    <n v="5.97"/>
    <n v="3.97"/>
    <n v="4.63"/>
    <n v="3.24"/>
    <n v="3.23"/>
    <n v="3.44"/>
    <n v="3.65"/>
    <n v="3.27"/>
    <n v="3.15"/>
    <n v="3.69"/>
    <n v="3.58"/>
    <n v="3"/>
    <n v="0.1875"/>
  </r>
  <r>
    <s v="VIN030"/>
    <n v="3"/>
    <x v="1"/>
    <x v="1"/>
    <n v="2.92"/>
    <n v="3.14"/>
    <n v="3.38"/>
    <n v="3.66"/>
    <n v="4.93"/>
    <n v="3.57"/>
    <n v="4.3"/>
    <n v="4.0999999999999996"/>
    <n v="3.66"/>
    <n v="3.71"/>
    <n v="3.61"/>
    <n v="3.43"/>
    <n v="3.58"/>
    <n v="3.58"/>
    <n v="3.46"/>
    <n v="3.3"/>
    <n v="3"/>
    <n v="0.1875"/>
  </r>
  <r>
    <s v="VIN031"/>
    <n v="3"/>
    <x v="2"/>
    <x v="0"/>
    <n v="3.4"/>
    <n v="3.39"/>
    <n v="3.9"/>
    <n v="4"/>
    <n v="4.5"/>
    <n v="3.85"/>
    <n v="4.0599999999999996"/>
    <n v="2.86"/>
    <n v="3.68"/>
    <n v="3.67"/>
    <n v="4"/>
    <n v="3.3"/>
    <n v="3.66"/>
    <n v="3.49"/>
    <n v="3.31"/>
    <n v="3.63"/>
    <n v="2"/>
    <n v="0.125"/>
  </r>
  <r>
    <s v="VIN032"/>
    <n v="3"/>
    <x v="2"/>
    <x v="3"/>
    <n v="3.69"/>
    <n v="3.75"/>
    <n v="3.69"/>
    <n v="3.09"/>
    <n v="5.4"/>
    <n v="4.9800000000000004"/>
    <n v="5.12"/>
    <n v="5.13"/>
    <n v="3.53"/>
    <n v="3.51"/>
    <n v="3.5"/>
    <n v="3.44"/>
    <n v="3.79"/>
    <n v="3.61"/>
    <n v="3.59"/>
    <n v="3.27"/>
    <n v="4"/>
    <n v="0.25"/>
  </r>
  <r>
    <s v="VIN033"/>
    <n v="3"/>
    <x v="2"/>
    <x v="2"/>
    <n v="3.69"/>
    <n v="3.33"/>
    <n v="3.69"/>
    <n v="3.58"/>
    <n v="4.41"/>
    <n v="4.03"/>
    <n v="5.36"/>
    <n v="3.81"/>
    <n v="3"/>
    <n v="3.43"/>
    <n v="3.61"/>
    <n v="3.54"/>
    <n v="3.28"/>
    <n v="3.51"/>
    <n v="3.34"/>
    <n v="3.31"/>
    <n v="3"/>
    <n v="0.1875"/>
  </r>
  <r>
    <s v="VIN034"/>
    <n v="3"/>
    <x v="3"/>
    <x v="3"/>
    <n v="3.69"/>
    <n v="3.7"/>
    <n v="3.65"/>
    <n v="4.18"/>
    <n v="4.6100000000000003"/>
    <n v="4.92"/>
    <n v="4.8"/>
    <n v="3.59"/>
    <n v="4.0999999999999996"/>
    <n v="3.64"/>
    <n v="4.5"/>
    <n v="3.08"/>
    <n v="3.81"/>
    <n v="4.28"/>
    <n v="3.71"/>
    <n v="3.42"/>
    <n v="7"/>
    <n v="0.4375"/>
  </r>
  <r>
    <s v="VIN035"/>
    <n v="3"/>
    <x v="3"/>
    <x v="0"/>
    <n v="3.69"/>
    <n v="3.79"/>
    <n v="3.54"/>
    <n v="3.9"/>
    <n v="4.2"/>
    <n v="4.83"/>
    <n v="5.15"/>
    <n v="5.27"/>
    <n v="3.14"/>
    <n v="3.9"/>
    <n v="3.49"/>
    <n v="3.76"/>
    <n v="3.55"/>
    <n v="3.73"/>
    <n v="4.08"/>
    <n v="3.5"/>
    <n v="5"/>
    <n v="0.3125"/>
  </r>
  <r>
    <s v="VIN036"/>
    <n v="3"/>
    <x v="3"/>
    <x v="1"/>
    <n v="3.69"/>
    <n v="3.76"/>
    <n v="3.58"/>
    <n v="3.42"/>
    <n v="5.0599999999999996"/>
    <n v="6.12"/>
    <n v="5.71"/>
    <n v="4.1399999999999997"/>
    <n v="3.9"/>
    <n v="3.55"/>
    <n v="3.97"/>
    <n v="3.62"/>
    <n v="3.57"/>
    <n v="3.97"/>
    <n v="2.99"/>
    <n v="3.4"/>
    <n v="4"/>
    <n v="0.25"/>
  </r>
  <r>
    <s v="VIN037"/>
    <n v="4"/>
    <x v="0"/>
    <x v="3"/>
    <n v="3.69"/>
    <n v="2.98"/>
    <n v="3.35"/>
    <n v="3.52"/>
    <n v="4.58"/>
    <n v="4.79"/>
    <n v="5.66"/>
    <n v="5.31"/>
    <n v="3.52"/>
    <n v="3"/>
    <n v="3.39"/>
    <n v="3.57"/>
    <n v="3.32"/>
    <n v="4"/>
    <n v="3.84"/>
    <n v="2.82"/>
    <n v="4"/>
    <n v="0.25"/>
  </r>
  <r>
    <s v="VIN038"/>
    <n v="4"/>
    <x v="0"/>
    <x v="2"/>
    <n v="3.69"/>
    <n v="3.77"/>
    <n v="3.32"/>
    <n v="3.07"/>
    <n v="5.34"/>
    <n v="5"/>
    <n v="4.7699999999999996"/>
    <n v="5.0999999999999996"/>
    <n v="3.43"/>
    <n v="3"/>
    <n v="3.71"/>
    <n v="2.9"/>
    <n v="3.65"/>
    <n v="3.38"/>
    <n v="3.72"/>
    <n v="3.86"/>
    <n v="4"/>
    <n v="0.25"/>
  </r>
  <r>
    <s v="VIN039"/>
    <n v="4"/>
    <x v="0"/>
    <x v="1"/>
    <n v="3.69"/>
    <n v="3.12"/>
    <n v="3.13"/>
    <n v="3.77"/>
    <n v="4.2699999999999996"/>
    <n v="5.08"/>
    <n v="5.29"/>
    <n v="4.08"/>
    <n v="2.97"/>
    <n v="3.49"/>
    <n v="3.9"/>
    <n v="3.15"/>
    <n v="3.9"/>
    <n v="3.14"/>
    <n v="3.2"/>
    <n v="2.96"/>
    <n v="4"/>
    <n v="0.25"/>
  </r>
  <r>
    <s v="VIN040"/>
    <n v="4"/>
    <x v="1"/>
    <x v="1"/>
    <n v="3.69"/>
    <n v="3.98"/>
    <n v="3.76"/>
    <n v="3.28"/>
    <n v="4.93"/>
    <n v="5"/>
    <n v="5.23"/>
    <n v="4.33"/>
    <n v="3.38"/>
    <n v="3.9"/>
    <n v="3.7"/>
    <n v="3.39"/>
    <n v="3.98"/>
    <n v="3.79"/>
    <n v="3.4"/>
    <n v="3.57"/>
    <n v="4"/>
    <n v="0.25"/>
  </r>
  <r>
    <s v="VIN041"/>
    <n v="4"/>
    <x v="1"/>
    <x v="3"/>
    <n v="3.69"/>
    <n v="3.75"/>
    <n v="4.13"/>
    <n v="3.63"/>
    <n v="5.9"/>
    <n v="5.83"/>
    <n v="6.48"/>
    <n v="6.5"/>
    <n v="3.98"/>
    <n v="3.05"/>
    <n v="3"/>
    <n v="3.75"/>
    <n v="4.18"/>
    <n v="3.61"/>
    <n v="3.65"/>
    <n v="4.2300000000000004"/>
    <n v="7"/>
    <n v="0.4375"/>
  </r>
  <r>
    <s v="VIN042"/>
    <n v="4"/>
    <x v="1"/>
    <x v="0"/>
    <n v="3.69"/>
    <n v="3.21"/>
    <n v="3.63"/>
    <n v="3.53"/>
    <n v="5"/>
    <n v="4.34"/>
    <n v="4.1100000000000003"/>
    <n v="3.47"/>
    <n v="3.35"/>
    <n v="3.69"/>
    <n v="3"/>
    <n v="3.35"/>
    <n v="3.64"/>
    <n v="3.57"/>
    <n v="3.14"/>
    <n v="3.41"/>
    <n v="3"/>
    <n v="0.1875"/>
  </r>
  <r>
    <s v="VIN043"/>
    <n v="4"/>
    <x v="2"/>
    <x v="3"/>
    <n v="3.69"/>
    <n v="3.61"/>
    <n v="3.55"/>
    <n v="3.81"/>
    <n v="4.88"/>
    <n v="5"/>
    <n v="5.09"/>
    <n v="4.24"/>
    <n v="3.35"/>
    <n v="3.55"/>
    <n v="3.7"/>
    <n v="3.88"/>
    <n v="3.71"/>
    <n v="3.32"/>
    <n v="3.32"/>
    <n v="3.2"/>
    <n v="4"/>
    <n v="0.25"/>
  </r>
  <r>
    <s v="VIN044"/>
    <n v="4"/>
    <x v="2"/>
    <x v="1"/>
    <n v="3.69"/>
    <n v="3.48"/>
    <n v="3.43"/>
    <n v="3.23"/>
    <n v="4.5"/>
    <n v="4.76"/>
    <n v="4.8499999999999996"/>
    <n v="4.57"/>
    <n v="3.61"/>
    <n v="3.45"/>
    <n v="3.8"/>
    <n v="3.68"/>
    <n v="3.2"/>
    <n v="3.09"/>
    <n v="3.71"/>
    <n v="3.18"/>
    <n v="4"/>
    <n v="0.25"/>
  </r>
  <r>
    <s v="VIN045"/>
    <n v="4"/>
    <x v="2"/>
    <x v="0"/>
    <n v="3.69"/>
    <n v="3.7"/>
    <n v="3.48"/>
    <n v="3.5"/>
    <n v="4.21"/>
    <n v="5.6"/>
    <n v="4.93"/>
    <n v="5.31"/>
    <n v="3.26"/>
    <n v="3.18"/>
    <n v="3.72"/>
    <n v="3.4"/>
    <n v="3.34"/>
    <n v="3.33"/>
    <n v="3.38"/>
    <n v="3.46"/>
    <n v="4"/>
    <n v="0.25"/>
  </r>
  <r>
    <s v="VIN046"/>
    <n v="4"/>
    <x v="3"/>
    <x v="3"/>
    <n v="3.69"/>
    <n v="2.84"/>
    <n v="3.8"/>
    <n v="4.5999999999999996"/>
    <n v="5.69"/>
    <n v="4.24"/>
    <n v="4.1500000000000004"/>
    <n v="4.87"/>
    <n v="4.18"/>
    <n v="3.5"/>
    <n v="3.83"/>
    <n v="3"/>
    <n v="3.88"/>
    <n v="3.64"/>
    <n v="4.28"/>
    <n v="4.8499999999999996"/>
    <n v="8"/>
    <n v="0.5"/>
  </r>
  <r>
    <s v="VIN047"/>
    <n v="4"/>
    <x v="3"/>
    <x v="2"/>
    <n v="3.69"/>
    <n v="3.55"/>
    <n v="4.01"/>
    <n v="3.88"/>
    <n v="6.33"/>
    <n v="5"/>
    <n v="5.18"/>
    <n v="5.35"/>
    <n v="4.08"/>
    <n v="3.13"/>
    <n v="4"/>
    <n v="4.13"/>
    <n v="3.08"/>
    <n v="3.69"/>
    <n v="3.7"/>
    <n v="4.1900000000000004"/>
    <n v="8"/>
    <n v="0.5"/>
  </r>
  <r>
    <s v="VIN048"/>
    <n v="4"/>
    <x v="3"/>
    <x v="1"/>
    <n v="3.69"/>
    <n v="4.03"/>
    <n v="3.96"/>
    <n v="3.9"/>
    <n v="4.99"/>
    <n v="4.78"/>
    <n v="5.29"/>
    <n v="4.9000000000000004"/>
    <n v="4.07"/>
    <n v="3.63"/>
    <n v="3.71"/>
    <n v="3.8"/>
    <n v="3.51"/>
    <n v="3.82"/>
    <n v="3.61"/>
    <n v="3.45"/>
    <n v="6"/>
    <n v="0.375"/>
  </r>
  <r>
    <s v="VIN049"/>
    <n v="5"/>
    <x v="0"/>
    <x v="3"/>
    <n v="3.69"/>
    <n v="3.2"/>
    <n v="4.05"/>
    <n v="4.28"/>
    <n v="5.28"/>
    <n v="4.6100000000000003"/>
    <n v="6.29"/>
    <n v="5.82"/>
    <n v="3.38"/>
    <n v="3.67"/>
    <n v="3.73"/>
    <n v="3"/>
    <n v="4.1100000000000003"/>
    <n v="3.52"/>
    <n v="3.18"/>
    <n v="3.78"/>
    <n v="7"/>
    <n v="0.4375"/>
  </r>
  <r>
    <s v="VIN050"/>
    <n v="5"/>
    <x v="0"/>
    <x v="3"/>
    <n v="3.69"/>
    <n v="2.99"/>
    <n v="3"/>
    <n v="3.45"/>
    <n v="4.74"/>
    <n v="5.49"/>
    <n v="4.24"/>
    <n v="4.47"/>
    <n v="3.34"/>
    <n v="3.6"/>
    <n v="3.28"/>
    <n v="3.22"/>
    <n v="3"/>
    <n v="3.32"/>
    <n v="3.65"/>
    <n v="2.68"/>
    <n v="4"/>
    <n v="0.25"/>
  </r>
  <r>
    <s v="VIN051"/>
    <n v="5"/>
    <x v="0"/>
    <x v="0"/>
    <n v="3.69"/>
    <n v="3.15"/>
    <n v="3.6"/>
    <n v="3.74"/>
    <n v="5.37"/>
    <n v="4.84"/>
    <n v="5.05"/>
    <n v="4.92"/>
    <n v="3.9"/>
    <n v="3.25"/>
    <n v="3.36"/>
    <n v="3.4"/>
    <n v="3.5"/>
    <n v="3.23"/>
    <n v="3.28"/>
    <n v="3.2"/>
    <n v="4"/>
    <n v="0.25"/>
  </r>
  <r>
    <s v="VIN052"/>
    <n v="5"/>
    <x v="1"/>
    <x v="2"/>
    <n v="3.69"/>
    <n v="3.02"/>
    <n v="3.9"/>
    <n v="3.44"/>
    <n v="5.21"/>
    <n v="5.46"/>
    <n v="4.67"/>
    <n v="4.8499999999999996"/>
    <n v="3.54"/>
    <n v="3.38"/>
    <n v="3.6"/>
    <n v="3.17"/>
    <n v="3.8"/>
    <n v="3.3"/>
    <n v="3.55"/>
    <n v="3.62"/>
    <n v="4"/>
    <n v="0.25"/>
  </r>
  <r>
    <s v="VIN053"/>
    <n v="5"/>
    <x v="1"/>
    <x v="1"/>
    <n v="3.69"/>
    <n v="3.46"/>
    <n v="3.75"/>
    <n v="3.67"/>
    <n v="5.28"/>
    <n v="3.61"/>
    <n v="4.13"/>
    <n v="5.35"/>
    <n v="3.44"/>
    <n v="3.54"/>
    <n v="3.5"/>
    <n v="2.9"/>
    <n v="2"/>
    <n v="2.82"/>
    <n v="3.13"/>
    <n v="3.56"/>
    <n v="3"/>
    <n v="0.1875"/>
  </r>
  <r>
    <s v="VIN054"/>
    <n v="5"/>
    <x v="1"/>
    <x v="3"/>
    <n v="3.69"/>
    <n v="3"/>
    <n v="3.36"/>
    <n v="4.1500000000000004"/>
    <n v="4.49"/>
    <n v="6.24"/>
    <n v="5.0199999999999996"/>
    <n v="4.13"/>
    <n v="3.47"/>
    <n v="4.0599999999999996"/>
    <n v="3.42"/>
    <n v="3.5"/>
    <n v="4"/>
    <n v="3"/>
    <n v="4.45"/>
    <n v="3.74"/>
    <n v="7"/>
    <n v="0.4375"/>
  </r>
  <r>
    <s v="VIN055"/>
    <n v="5"/>
    <x v="2"/>
    <x v="1"/>
    <n v="3.69"/>
    <n v="4.34"/>
    <n v="3.9"/>
    <n v="3.43"/>
    <n v="5.61"/>
    <n v="4.45"/>
    <n v="5"/>
    <n v="5.71"/>
    <n v="4.05"/>
    <n v="3.96"/>
    <n v="3.37"/>
    <n v="3.92"/>
    <n v="3.62"/>
    <n v="3.9"/>
    <n v="4.08"/>
    <n v="3.9"/>
    <n v="7"/>
    <n v="0.4375"/>
  </r>
  <r>
    <s v="VIN056"/>
    <n v="5"/>
    <x v="2"/>
    <x v="3"/>
    <n v="3.69"/>
    <n v="3.9"/>
    <n v="3.73"/>
    <n v="4.1399999999999997"/>
    <n v="5.25"/>
    <n v="5.34"/>
    <n v="4.91"/>
    <n v="5.68"/>
    <n v="3.48"/>
    <n v="5.08"/>
    <n v="3.9"/>
    <n v="3.85"/>
    <n v="3.4"/>
    <n v="4.07"/>
    <n v="4.4400000000000004"/>
    <n v="3.35"/>
    <n v="8"/>
    <n v="0.5"/>
  </r>
  <r>
    <s v="VIN057"/>
    <n v="5"/>
    <x v="2"/>
    <x v="0"/>
    <n v="3.69"/>
    <n v="4.18"/>
    <n v="4.2300000000000004"/>
    <n v="3.44"/>
    <n v="5.1100000000000003"/>
    <n v="4.84"/>
    <n v="5.35"/>
    <n v="5.57"/>
    <n v="3.62"/>
    <n v="4.08"/>
    <n v="3.28"/>
    <n v="4.05"/>
    <n v="3.75"/>
    <n v="2"/>
    <n v="3.87"/>
    <n v="3.02"/>
    <n v="8"/>
    <n v="0.5"/>
  </r>
  <r>
    <s v="VIN058"/>
    <n v="5"/>
    <x v="3"/>
    <x v="0"/>
    <n v="3.69"/>
    <n v="3.72"/>
    <n v="3.65"/>
    <n v="3.26"/>
    <n v="4.97"/>
    <n v="6.18"/>
    <n v="4.93"/>
    <n v="5.41"/>
    <n v="4.0199999999999996"/>
    <n v="3.57"/>
    <n v="3.54"/>
    <n v="3.55"/>
    <n v="3.7"/>
    <n v="4.05"/>
    <n v="3"/>
    <n v="2.6"/>
    <n v="6"/>
    <n v="0.375"/>
  </r>
  <r>
    <s v="VIN059"/>
    <n v="5"/>
    <x v="3"/>
    <x v="2"/>
    <n v="3.69"/>
    <n v="3.9"/>
    <n v="3.66"/>
    <n v="3.5"/>
    <n v="4.8"/>
    <n v="4.5599999999999996"/>
    <n v="4.8499999999999996"/>
    <n v="5"/>
    <n v="3.6"/>
    <n v="3.62"/>
    <n v="3.76"/>
    <n v="4.42"/>
    <n v="4.12"/>
    <n v="4"/>
    <n v="4"/>
    <n v="3.9"/>
    <n v="6"/>
    <n v="0.375"/>
  </r>
  <r>
    <s v="VIN060"/>
    <n v="5"/>
    <x v="3"/>
    <x v="3"/>
    <n v="3.69"/>
    <n v="3.64"/>
    <n v="3.73"/>
    <n v="3.58"/>
    <n v="4.51"/>
    <n v="4.79"/>
    <n v="5.03"/>
    <n v="4.84"/>
    <n v="3.58"/>
    <n v="3.62"/>
    <n v="3.37"/>
    <n v="3.15"/>
    <n v="3.73"/>
    <n v="3.32"/>
    <n v="4"/>
    <n v="3.9"/>
    <n v="4"/>
    <n v="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EF6D23-2FA5-4AFB-BED3-DC6D560B24BA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R22" firstHeaderRow="0" firstDataRow="1" firstDataCol="1"/>
  <pivotFields count="22">
    <pivotField showAll="0"/>
    <pivotField showAll="0"/>
    <pivotField axis="axisRow" showAll="0" sortType="descending">
      <items count="5">
        <item x="0"/>
        <item x="1"/>
        <item x="2"/>
        <item x="3"/>
        <item t="default"/>
      </items>
    </pivotField>
    <pivotField axis="axisRow" showAll="0">
      <items count="5">
        <item x="0"/>
        <item x="2"/>
        <item x="3"/>
        <item x="1"/>
        <item t="default"/>
      </items>
    </pivotField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showAll="0"/>
    <pivotField numFmtId="10" showAll="0"/>
  </pivotFields>
  <rowFields count="2">
    <field x="2"/>
    <field x="3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dataFields count="17">
    <dataField name="Average of G1" fld="4" subtotal="average" baseField="2" baseItem="0" numFmtId="2"/>
    <dataField name="Average of G2" fld="5" subtotal="average" baseField="2" baseItem="0" numFmtId="2"/>
    <dataField name="Average of G3" fld="6" subtotal="average" baseField="2" baseItem="0" numFmtId="2"/>
    <dataField name="Average of G4" fld="7" subtotal="average" baseField="2" baseItem="0" numFmtId="2"/>
    <dataField name="Average of G5" fld="8" subtotal="average" baseField="2" baseItem="0" numFmtId="2"/>
    <dataField name="Average of G6" fld="9" subtotal="average" baseField="2" baseItem="0" numFmtId="2"/>
    <dataField name="Average of G7" fld="10" subtotal="average" baseField="2" baseItem="0" numFmtId="2"/>
    <dataField name="Average of G8" fld="11" subtotal="average" baseField="2" baseItem="0" numFmtId="2"/>
    <dataField name="Average of G9" fld="12" subtotal="average" baseField="2" baseItem="0" numFmtId="2"/>
    <dataField name="Average of G10" fld="13" subtotal="average" baseField="2" baseItem="0" numFmtId="2"/>
    <dataField name="Average of G11" fld="14" subtotal="average" baseField="2" baseItem="0" numFmtId="2"/>
    <dataField name="Average of G12" fld="15" subtotal="average" baseField="2" baseItem="0" numFmtId="2"/>
    <dataField name="Average of G13" fld="16" subtotal="average" baseField="2" baseItem="0" numFmtId="2"/>
    <dataField name="Average of G14" fld="17" subtotal="average" baseField="2" baseItem="0" numFmtId="2"/>
    <dataField name="Average of G15" fld="18" subtotal="average" baseField="2" baseItem="0" numFmtId="2"/>
    <dataField name="Average of G16" fld="19" subtotal="average" baseField="2" baseItem="0" numFmtId="2"/>
    <dataField name="Sum of # Non-Conformance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AF4B-4E51-47EC-8B2C-90883E664F69}">
  <sheetPr codeName="Sheet1"/>
  <dimension ref="A1:V71"/>
  <sheetViews>
    <sheetView tabSelected="1" zoomScale="82" zoomScaleNormal="70" workbookViewId="0">
      <selection activeCell="D67" sqref="D67"/>
    </sheetView>
  </sheetViews>
  <sheetFormatPr defaultRowHeight="15" x14ac:dyDescent="0.25"/>
  <cols>
    <col min="3" max="3" width="17.7109375" bestFit="1" customWidth="1"/>
    <col min="4" max="4" width="11.5703125" bestFit="1" customWidth="1"/>
    <col min="21" max="21" width="21.7109375" bestFit="1" customWidth="1"/>
    <col min="22" max="22" width="23.85546875" bestFit="1" customWidth="1"/>
  </cols>
  <sheetData>
    <row r="1" spans="1:22" ht="15.75" thickBot="1" x14ac:dyDescent="0.3">
      <c r="A1" s="49" t="s">
        <v>68</v>
      </c>
      <c r="B1" s="50" t="s">
        <v>69</v>
      </c>
      <c r="C1" s="50" t="s">
        <v>70</v>
      </c>
      <c r="D1" s="50" t="s">
        <v>71</v>
      </c>
      <c r="E1" s="50" t="s">
        <v>72</v>
      </c>
      <c r="F1" s="50" t="s">
        <v>73</v>
      </c>
      <c r="G1" s="50" t="s">
        <v>74</v>
      </c>
      <c r="H1" s="50" t="s">
        <v>75</v>
      </c>
      <c r="I1" s="50" t="s">
        <v>76</v>
      </c>
      <c r="J1" s="50" t="s">
        <v>77</v>
      </c>
      <c r="K1" s="50" t="s">
        <v>78</v>
      </c>
      <c r="L1" s="50" t="s">
        <v>79</v>
      </c>
      <c r="M1" s="50" t="s">
        <v>80</v>
      </c>
      <c r="N1" s="50" t="s">
        <v>81</v>
      </c>
      <c r="O1" s="50" t="s">
        <v>82</v>
      </c>
      <c r="P1" s="50" t="s">
        <v>83</v>
      </c>
      <c r="Q1" s="50" t="s">
        <v>84</v>
      </c>
      <c r="R1" s="50" t="s">
        <v>85</v>
      </c>
      <c r="S1" s="50" t="s">
        <v>86</v>
      </c>
      <c r="T1" s="50" t="s">
        <v>87</v>
      </c>
      <c r="U1" s="50" t="s">
        <v>88</v>
      </c>
      <c r="V1" s="51" t="s">
        <v>91</v>
      </c>
    </row>
    <row r="2" spans="1:22" x14ac:dyDescent="0.25">
      <c r="A2" s="45" t="s">
        <v>0</v>
      </c>
      <c r="B2" s="46">
        <v>1</v>
      </c>
      <c r="C2" s="46" t="s">
        <v>1</v>
      </c>
      <c r="D2" s="46" t="s">
        <v>12</v>
      </c>
      <c r="E2" s="47">
        <v>2</v>
      </c>
      <c r="F2" s="47">
        <v>3.34</v>
      </c>
      <c r="G2" s="47">
        <v>2.91</v>
      </c>
      <c r="H2" s="47">
        <v>3.07</v>
      </c>
      <c r="I2" s="47">
        <v>4.3099999999999996</v>
      </c>
      <c r="J2" s="47">
        <v>4.45</v>
      </c>
      <c r="K2" s="47">
        <v>4.67</v>
      </c>
      <c r="L2" s="47">
        <v>3.82</v>
      </c>
      <c r="M2" s="47">
        <v>3.1</v>
      </c>
      <c r="N2" s="47">
        <v>3.75</v>
      </c>
      <c r="O2" s="47">
        <v>3.21</v>
      </c>
      <c r="P2" s="47">
        <v>3.17</v>
      </c>
      <c r="Q2" s="47">
        <v>3.19</v>
      </c>
      <c r="R2" s="47">
        <v>3.33</v>
      </c>
      <c r="S2" s="47">
        <v>3.64</v>
      </c>
      <c r="T2" s="47">
        <v>3.37</v>
      </c>
      <c r="U2" s="46">
        <f>COUNTIF(E2:T2,"&gt;4")</f>
        <v>3</v>
      </c>
      <c r="V2" s="48">
        <f>U2/16</f>
        <v>0.1875</v>
      </c>
    </row>
    <row r="3" spans="1:22" x14ac:dyDescent="0.25">
      <c r="A3" s="43" t="s">
        <v>3</v>
      </c>
      <c r="B3" s="7">
        <v>1</v>
      </c>
      <c r="C3" s="7" t="s">
        <v>1</v>
      </c>
      <c r="D3" s="7" t="s">
        <v>2</v>
      </c>
      <c r="E3" s="38">
        <v>3</v>
      </c>
      <c r="F3" s="38">
        <v>3.49</v>
      </c>
      <c r="G3" s="38">
        <v>3.45</v>
      </c>
      <c r="H3" s="38">
        <v>3.49</v>
      </c>
      <c r="I3" s="38">
        <v>4.6399999999999997</v>
      </c>
      <c r="J3" s="38">
        <v>5.34</v>
      </c>
      <c r="K3" s="38">
        <v>3.81</v>
      </c>
      <c r="L3" s="38">
        <v>5.01</v>
      </c>
      <c r="M3" s="38">
        <v>3.57</v>
      </c>
      <c r="N3" s="38">
        <v>3.76</v>
      </c>
      <c r="O3" s="38">
        <v>3.74</v>
      </c>
      <c r="P3" s="38">
        <v>3.71</v>
      </c>
      <c r="Q3" s="38">
        <v>3.7</v>
      </c>
      <c r="R3" s="38">
        <v>2.92</v>
      </c>
      <c r="S3" s="38">
        <v>2.61</v>
      </c>
      <c r="T3" s="38">
        <v>3.3</v>
      </c>
      <c r="U3" s="7">
        <f t="shared" ref="U3:U61" si="0">COUNTIF(E3:T3,"&gt;4")</f>
        <v>3</v>
      </c>
      <c r="V3" s="39">
        <f t="shared" ref="V3:V61" si="1">U3/16</f>
        <v>0.1875</v>
      </c>
    </row>
    <row r="4" spans="1:22" x14ac:dyDescent="0.25">
      <c r="A4" s="43" t="s">
        <v>5</v>
      </c>
      <c r="B4" s="7">
        <v>1</v>
      </c>
      <c r="C4" s="7" t="s">
        <v>1</v>
      </c>
      <c r="D4" s="7" t="s">
        <v>7</v>
      </c>
      <c r="E4" s="38">
        <v>3.9</v>
      </c>
      <c r="F4" s="38">
        <v>3.71</v>
      </c>
      <c r="G4" s="38">
        <v>3.4</v>
      </c>
      <c r="H4" s="38">
        <v>3.81</v>
      </c>
      <c r="I4" s="38">
        <v>4.2699999999999996</v>
      </c>
      <c r="J4" s="38">
        <v>4.7699999999999996</v>
      </c>
      <c r="K4" s="38">
        <v>5.6</v>
      </c>
      <c r="L4" s="38">
        <v>4.34</v>
      </c>
      <c r="M4" s="38">
        <v>3.36</v>
      </c>
      <c r="N4" s="38">
        <v>3.22</v>
      </c>
      <c r="O4" s="38">
        <v>4.0199999999999996</v>
      </c>
      <c r="P4" s="38">
        <v>3.61</v>
      </c>
      <c r="Q4" s="38">
        <v>3.31</v>
      </c>
      <c r="R4" s="38">
        <v>3.44</v>
      </c>
      <c r="S4" s="38">
        <v>2.94</v>
      </c>
      <c r="T4" s="38">
        <v>3.81</v>
      </c>
      <c r="U4" s="7">
        <f t="shared" si="0"/>
        <v>5</v>
      </c>
      <c r="V4" s="39">
        <f t="shared" si="1"/>
        <v>0.3125</v>
      </c>
    </row>
    <row r="5" spans="1:22" x14ac:dyDescent="0.25">
      <c r="A5" s="43" t="s">
        <v>8</v>
      </c>
      <c r="B5" s="7">
        <v>1</v>
      </c>
      <c r="C5" s="7" t="s">
        <v>4</v>
      </c>
      <c r="D5" s="7" t="s">
        <v>7</v>
      </c>
      <c r="E5" s="38">
        <v>3.9</v>
      </c>
      <c r="F5" s="38">
        <v>3.75</v>
      </c>
      <c r="G5" s="38">
        <v>3.38</v>
      </c>
      <c r="H5" s="38">
        <v>3.38</v>
      </c>
      <c r="I5" s="38">
        <v>3.93</v>
      </c>
      <c r="J5" s="38">
        <v>5.0599999999999996</v>
      </c>
      <c r="K5" s="38">
        <v>5.15</v>
      </c>
      <c r="L5" s="38">
        <v>4.83</v>
      </c>
      <c r="M5" s="38">
        <v>3.93</v>
      </c>
      <c r="N5" s="38">
        <v>3.28</v>
      </c>
      <c r="O5" s="38">
        <v>3.97</v>
      </c>
      <c r="P5" s="38">
        <v>3.39</v>
      </c>
      <c r="Q5" s="38">
        <v>3.13</v>
      </c>
      <c r="R5" s="38">
        <v>3.75</v>
      </c>
      <c r="S5" s="38">
        <v>3.9</v>
      </c>
      <c r="T5" s="38">
        <v>3.39</v>
      </c>
      <c r="U5" s="7">
        <f t="shared" si="0"/>
        <v>3</v>
      </c>
      <c r="V5" s="39">
        <f t="shared" si="1"/>
        <v>0.1875</v>
      </c>
    </row>
    <row r="6" spans="1:22" x14ac:dyDescent="0.25">
      <c r="A6" s="43" t="s">
        <v>10</v>
      </c>
      <c r="B6" s="7">
        <v>1</v>
      </c>
      <c r="C6" s="7" t="s">
        <v>4</v>
      </c>
      <c r="D6" s="7" t="s">
        <v>12</v>
      </c>
      <c r="E6" s="38">
        <v>3.24</v>
      </c>
      <c r="F6" s="38">
        <v>2</v>
      </c>
      <c r="G6" s="38">
        <v>3.92</v>
      </c>
      <c r="H6" s="38">
        <v>3.54</v>
      </c>
      <c r="I6" s="38">
        <v>5</v>
      </c>
      <c r="J6" s="38">
        <v>5.78</v>
      </c>
      <c r="K6" s="38">
        <v>5.53</v>
      </c>
      <c r="L6" s="38">
        <v>4.3499999999999996</v>
      </c>
      <c r="M6" s="38">
        <v>3.39</v>
      </c>
      <c r="N6" s="38">
        <v>3.36</v>
      </c>
      <c r="O6" s="38">
        <v>3.65</v>
      </c>
      <c r="P6" s="38">
        <v>2.8</v>
      </c>
      <c r="Q6" s="38">
        <v>3.52</v>
      </c>
      <c r="R6" s="38">
        <v>3.32</v>
      </c>
      <c r="S6" s="38">
        <v>3.3</v>
      </c>
      <c r="T6" s="38">
        <v>3.32</v>
      </c>
      <c r="U6" s="7">
        <f t="shared" si="0"/>
        <v>4</v>
      </c>
      <c r="V6" s="39">
        <f t="shared" si="1"/>
        <v>0.25</v>
      </c>
    </row>
    <row r="7" spans="1:22" x14ac:dyDescent="0.25">
      <c r="A7" s="43" t="s">
        <v>11</v>
      </c>
      <c r="B7" s="7">
        <v>1</v>
      </c>
      <c r="C7" s="7" t="s">
        <v>4</v>
      </c>
      <c r="D7" s="7" t="s">
        <v>2</v>
      </c>
      <c r="E7" s="38">
        <v>3.98</v>
      </c>
      <c r="F7" s="38">
        <v>2.1</v>
      </c>
      <c r="G7" s="38">
        <v>3.39</v>
      </c>
      <c r="H7" s="38">
        <v>3</v>
      </c>
      <c r="I7" s="38">
        <v>5.27</v>
      </c>
      <c r="J7" s="38">
        <v>3.96</v>
      </c>
      <c r="K7" s="38">
        <v>5.43</v>
      </c>
      <c r="L7" s="38">
        <v>5.95</v>
      </c>
      <c r="M7" s="38">
        <v>2.78</v>
      </c>
      <c r="N7" s="38">
        <v>3.61</v>
      </c>
      <c r="O7" s="38">
        <v>3.67</v>
      </c>
      <c r="P7" s="38">
        <v>2.96</v>
      </c>
      <c r="Q7" s="38">
        <v>3.19</v>
      </c>
      <c r="R7" s="38">
        <v>3.3</v>
      </c>
      <c r="S7" s="38">
        <v>3.78</v>
      </c>
      <c r="T7" s="38">
        <v>3.4</v>
      </c>
      <c r="U7" s="7">
        <f t="shared" si="0"/>
        <v>3</v>
      </c>
      <c r="V7" s="39">
        <f t="shared" si="1"/>
        <v>0.1875</v>
      </c>
    </row>
    <row r="8" spans="1:22" x14ac:dyDescent="0.25">
      <c r="A8" s="43" t="s">
        <v>13</v>
      </c>
      <c r="B8" s="7">
        <v>1</v>
      </c>
      <c r="C8" s="7" t="s">
        <v>6</v>
      </c>
      <c r="D8" s="7" t="s">
        <v>7</v>
      </c>
      <c r="E8" s="38">
        <v>3.81</v>
      </c>
      <c r="F8" s="38">
        <v>3.9</v>
      </c>
      <c r="G8" s="38">
        <v>3.56</v>
      </c>
      <c r="H8" s="38">
        <v>3.86</v>
      </c>
      <c r="I8" s="38">
        <v>4.9000000000000004</v>
      </c>
      <c r="J8" s="38">
        <v>4.12</v>
      </c>
      <c r="K8" s="38">
        <v>4.41</v>
      </c>
      <c r="L8" s="38">
        <v>4.9400000000000004</v>
      </c>
      <c r="M8" s="38">
        <v>3.49</v>
      </c>
      <c r="N8" s="38">
        <v>3.62</v>
      </c>
      <c r="O8" s="38">
        <v>3.35</v>
      </c>
      <c r="P8" s="38">
        <v>2.98</v>
      </c>
      <c r="Q8" s="38">
        <v>3.61</v>
      </c>
      <c r="R8" s="38">
        <v>3.44</v>
      </c>
      <c r="S8" s="38">
        <v>3.43</v>
      </c>
      <c r="T8" s="38">
        <v>3.69</v>
      </c>
      <c r="U8" s="7">
        <f t="shared" si="0"/>
        <v>4</v>
      </c>
      <c r="V8" s="39">
        <f t="shared" si="1"/>
        <v>0.25</v>
      </c>
    </row>
    <row r="9" spans="1:22" x14ac:dyDescent="0.25">
      <c r="A9" s="43" t="s">
        <v>14</v>
      </c>
      <c r="B9" s="7">
        <v>1</v>
      </c>
      <c r="C9" s="7" t="s">
        <v>6</v>
      </c>
      <c r="D9" s="7" t="s">
        <v>2</v>
      </c>
      <c r="E9" s="38">
        <v>3.19</v>
      </c>
      <c r="F9" s="38">
        <v>3.5</v>
      </c>
      <c r="G9" s="38">
        <v>2.99</v>
      </c>
      <c r="H9" s="38">
        <v>3.73</v>
      </c>
      <c r="I9" s="38">
        <v>3.99</v>
      </c>
      <c r="J9" s="38">
        <v>5.75</v>
      </c>
      <c r="K9" s="38">
        <v>4.4800000000000004</v>
      </c>
      <c r="L9" s="38">
        <v>4.0999999999999996</v>
      </c>
      <c r="M9" s="38">
        <v>3.69</v>
      </c>
      <c r="N9" s="38">
        <v>3.98</v>
      </c>
      <c r="O9" s="38">
        <v>4.03</v>
      </c>
      <c r="P9" s="38">
        <v>3.82</v>
      </c>
      <c r="Q9" s="38">
        <v>3.27</v>
      </c>
      <c r="R9" s="38">
        <v>3.9</v>
      </c>
      <c r="S9" s="38">
        <v>3.33</v>
      </c>
      <c r="T9" s="38">
        <v>3.79</v>
      </c>
      <c r="U9" s="7">
        <f t="shared" si="0"/>
        <v>4</v>
      </c>
      <c r="V9" s="39">
        <f t="shared" si="1"/>
        <v>0.25</v>
      </c>
    </row>
    <row r="10" spans="1:22" x14ac:dyDescent="0.25">
      <c r="A10" s="43" t="s">
        <v>15</v>
      </c>
      <c r="B10" s="7">
        <v>1</v>
      </c>
      <c r="C10" s="7" t="s">
        <v>6</v>
      </c>
      <c r="D10" s="7" t="s">
        <v>18</v>
      </c>
      <c r="E10" s="38">
        <v>3.65</v>
      </c>
      <c r="F10" s="38">
        <v>3.65</v>
      </c>
      <c r="G10" s="38">
        <v>2</v>
      </c>
      <c r="H10" s="38">
        <v>3.73</v>
      </c>
      <c r="I10" s="38">
        <v>5.91</v>
      </c>
      <c r="J10" s="38">
        <v>3.93</v>
      </c>
      <c r="K10" s="38">
        <v>4.6399999999999997</v>
      </c>
      <c r="L10" s="38">
        <v>5.59</v>
      </c>
      <c r="M10" s="38">
        <v>3.96</v>
      </c>
      <c r="N10" s="38">
        <v>4.24</v>
      </c>
      <c r="O10" s="38">
        <v>4.0999999999999996</v>
      </c>
      <c r="P10" s="38">
        <v>4.4000000000000004</v>
      </c>
      <c r="Q10" s="38">
        <v>3.72</v>
      </c>
      <c r="R10" s="38">
        <v>4.32</v>
      </c>
      <c r="S10" s="38">
        <v>4.07</v>
      </c>
      <c r="T10" s="38">
        <v>4.4000000000000004</v>
      </c>
      <c r="U10" s="7">
        <f t="shared" si="0"/>
        <v>9</v>
      </c>
      <c r="V10" s="39">
        <f t="shared" si="1"/>
        <v>0.5625</v>
      </c>
    </row>
    <row r="11" spans="1:22" x14ac:dyDescent="0.25">
      <c r="A11" s="43" t="s">
        <v>16</v>
      </c>
      <c r="B11" s="7">
        <v>1</v>
      </c>
      <c r="C11" s="7" t="s">
        <v>9</v>
      </c>
      <c r="D11" s="7" t="s">
        <v>18</v>
      </c>
      <c r="E11" s="38">
        <v>3.8</v>
      </c>
      <c r="F11" s="38">
        <v>4.7300000000000004</v>
      </c>
      <c r="G11" s="38">
        <v>2</v>
      </c>
      <c r="H11" s="38">
        <v>4.72</v>
      </c>
      <c r="I11" s="38">
        <v>3.95</v>
      </c>
      <c r="J11" s="38">
        <v>4.66</v>
      </c>
      <c r="K11" s="38">
        <v>5.1100000000000003</v>
      </c>
      <c r="L11" s="38">
        <v>6.17</v>
      </c>
      <c r="M11" s="38">
        <v>3.01</v>
      </c>
      <c r="N11" s="38">
        <v>3.51</v>
      </c>
      <c r="O11" s="38">
        <v>3.38</v>
      </c>
      <c r="P11" s="38">
        <v>3.78</v>
      </c>
      <c r="Q11" s="38">
        <v>3.39</v>
      </c>
      <c r="R11" s="38">
        <v>3.61</v>
      </c>
      <c r="S11" s="38">
        <v>2.77</v>
      </c>
      <c r="T11" s="38">
        <v>4.41</v>
      </c>
      <c r="U11" s="7">
        <f t="shared" si="0"/>
        <v>6</v>
      </c>
      <c r="V11" s="39">
        <f t="shared" si="1"/>
        <v>0.375</v>
      </c>
    </row>
    <row r="12" spans="1:22" x14ac:dyDescent="0.25">
      <c r="A12" s="43" t="s">
        <v>17</v>
      </c>
      <c r="B12" s="7">
        <v>1</v>
      </c>
      <c r="C12" s="7" t="s">
        <v>9</v>
      </c>
      <c r="D12" s="7" t="s">
        <v>7</v>
      </c>
      <c r="E12" s="38">
        <v>4.42</v>
      </c>
      <c r="F12" s="38">
        <v>4</v>
      </c>
      <c r="G12" s="38">
        <v>3.91</v>
      </c>
      <c r="H12" s="38">
        <v>4.26</v>
      </c>
      <c r="I12" s="38">
        <v>7.63</v>
      </c>
      <c r="J12" s="38">
        <v>4.47</v>
      </c>
      <c r="K12" s="38">
        <v>4.9400000000000004</v>
      </c>
      <c r="L12" s="38">
        <v>4.18</v>
      </c>
      <c r="M12" s="38">
        <v>4.0999999999999996</v>
      </c>
      <c r="N12" s="38">
        <v>4.0599999999999996</v>
      </c>
      <c r="O12" s="38">
        <v>4.42</v>
      </c>
      <c r="P12" s="38">
        <v>3.51</v>
      </c>
      <c r="Q12" s="38">
        <v>4.2300000000000004</v>
      </c>
      <c r="R12" s="38">
        <v>3.67</v>
      </c>
      <c r="S12" s="38">
        <v>3.5</v>
      </c>
      <c r="T12" s="38">
        <v>3.71</v>
      </c>
      <c r="U12" s="7">
        <f t="shared" si="0"/>
        <v>10</v>
      </c>
      <c r="V12" s="39">
        <f t="shared" si="1"/>
        <v>0.625</v>
      </c>
    </row>
    <row r="13" spans="1:22" x14ac:dyDescent="0.25">
      <c r="A13" s="43" t="s">
        <v>19</v>
      </c>
      <c r="B13" s="7">
        <v>1</v>
      </c>
      <c r="C13" s="7" t="s">
        <v>9</v>
      </c>
      <c r="D13" s="7" t="s">
        <v>12</v>
      </c>
      <c r="E13" s="38">
        <v>3.89</v>
      </c>
      <c r="F13" s="38">
        <v>3.62</v>
      </c>
      <c r="G13" s="38">
        <v>3.9</v>
      </c>
      <c r="H13" s="38">
        <v>3.66</v>
      </c>
      <c r="I13" s="38">
        <v>6.06</v>
      </c>
      <c r="J13" s="38">
        <v>3.08</v>
      </c>
      <c r="K13" s="38">
        <v>4.99</v>
      </c>
      <c r="L13" s="38">
        <v>4.78</v>
      </c>
      <c r="M13" s="38">
        <v>3.96</v>
      </c>
      <c r="N13" s="38">
        <v>3.4</v>
      </c>
      <c r="O13" s="38">
        <v>3.23</v>
      </c>
      <c r="P13" s="38">
        <v>3.62</v>
      </c>
      <c r="Q13" s="38">
        <v>3.9</v>
      </c>
      <c r="R13" s="38">
        <v>3.11</v>
      </c>
      <c r="S13" s="38">
        <v>3.49</v>
      </c>
      <c r="T13" s="38">
        <v>4.16</v>
      </c>
      <c r="U13" s="7">
        <f t="shared" si="0"/>
        <v>4</v>
      </c>
      <c r="V13" s="39">
        <f t="shared" si="1"/>
        <v>0.25</v>
      </c>
    </row>
    <row r="14" spans="1:22" x14ac:dyDescent="0.25">
      <c r="A14" s="43" t="s">
        <v>20</v>
      </c>
      <c r="B14" s="7">
        <v>2</v>
      </c>
      <c r="C14" s="7" t="s">
        <v>1</v>
      </c>
      <c r="D14" s="7" t="s">
        <v>7</v>
      </c>
      <c r="E14" s="38">
        <v>3.01</v>
      </c>
      <c r="F14" s="38">
        <v>3.42</v>
      </c>
      <c r="G14" s="38">
        <v>3</v>
      </c>
      <c r="H14" s="38">
        <v>2</v>
      </c>
      <c r="I14" s="38">
        <v>5.35</v>
      </c>
      <c r="J14" s="38">
        <v>5.03</v>
      </c>
      <c r="K14" s="38">
        <v>4.55</v>
      </c>
      <c r="L14" s="38">
        <v>3.7</v>
      </c>
      <c r="M14" s="38">
        <v>3.48</v>
      </c>
      <c r="N14" s="38">
        <v>3.31</v>
      </c>
      <c r="O14" s="38">
        <v>3.78</v>
      </c>
      <c r="P14" s="38">
        <v>3.2</v>
      </c>
      <c r="Q14" s="38">
        <v>3.13</v>
      </c>
      <c r="R14" s="38">
        <v>3.25</v>
      </c>
      <c r="S14" s="38">
        <v>3.31</v>
      </c>
      <c r="T14" s="38">
        <v>3.21</v>
      </c>
      <c r="U14" s="7">
        <f t="shared" si="0"/>
        <v>3</v>
      </c>
      <c r="V14" s="39">
        <f t="shared" si="1"/>
        <v>0.1875</v>
      </c>
    </row>
    <row r="15" spans="1:22" x14ac:dyDescent="0.25">
      <c r="A15" s="43" t="s">
        <v>21</v>
      </c>
      <c r="B15" s="7">
        <v>2</v>
      </c>
      <c r="C15" s="7" t="s">
        <v>1</v>
      </c>
      <c r="D15" s="7" t="s">
        <v>18</v>
      </c>
      <c r="E15" s="38">
        <v>3.92</v>
      </c>
      <c r="F15" s="38">
        <v>3.8</v>
      </c>
      <c r="G15" s="38">
        <v>3.68</v>
      </c>
      <c r="H15" s="38">
        <v>4.13</v>
      </c>
      <c r="I15" s="38">
        <v>5.03</v>
      </c>
      <c r="J15" s="38">
        <v>5.04</v>
      </c>
      <c r="K15" s="38">
        <v>5.31</v>
      </c>
      <c r="L15" s="38">
        <v>4.46</v>
      </c>
      <c r="M15" s="38">
        <v>3.53</v>
      </c>
      <c r="N15" s="38">
        <v>3.58</v>
      </c>
      <c r="O15" s="38">
        <v>4.04</v>
      </c>
      <c r="P15" s="38">
        <v>3.3</v>
      </c>
      <c r="Q15" s="38">
        <v>3.58</v>
      </c>
      <c r="R15" s="38">
        <v>3.65</v>
      </c>
      <c r="S15" s="38">
        <v>3.28</v>
      </c>
      <c r="T15" s="38">
        <v>3.03</v>
      </c>
      <c r="U15" s="7">
        <f t="shared" si="0"/>
        <v>6</v>
      </c>
      <c r="V15" s="39">
        <f t="shared" si="1"/>
        <v>0.375</v>
      </c>
    </row>
    <row r="16" spans="1:22" x14ac:dyDescent="0.25">
      <c r="A16" s="43" t="s">
        <v>22</v>
      </c>
      <c r="B16" s="7">
        <v>2</v>
      </c>
      <c r="C16" s="7" t="s">
        <v>1</v>
      </c>
      <c r="D16" s="7" t="s">
        <v>2</v>
      </c>
      <c r="E16" s="38">
        <v>3.4</v>
      </c>
      <c r="F16" s="38">
        <v>3.19</v>
      </c>
      <c r="G16" s="38">
        <v>3.17</v>
      </c>
      <c r="H16" s="38">
        <v>3.9</v>
      </c>
      <c r="I16" s="38">
        <v>4.91</v>
      </c>
      <c r="J16" s="38">
        <v>4.58</v>
      </c>
      <c r="K16" s="38">
        <v>4.0599999999999996</v>
      </c>
      <c r="L16" s="38">
        <v>4.13</v>
      </c>
      <c r="M16" s="38">
        <v>3.13</v>
      </c>
      <c r="N16" s="38">
        <v>3.66</v>
      </c>
      <c r="O16" s="38">
        <v>3.08</v>
      </c>
      <c r="P16" s="38">
        <v>4.1500000000000004</v>
      </c>
      <c r="Q16" s="38">
        <v>3.43</v>
      </c>
      <c r="R16" s="38">
        <v>3.44</v>
      </c>
      <c r="S16" s="38">
        <v>3.65</v>
      </c>
      <c r="T16" s="38">
        <v>3.9</v>
      </c>
      <c r="U16" s="7">
        <f t="shared" si="0"/>
        <v>5</v>
      </c>
      <c r="V16" s="39">
        <f t="shared" si="1"/>
        <v>0.3125</v>
      </c>
    </row>
    <row r="17" spans="1:22" x14ac:dyDescent="0.25">
      <c r="A17" s="43" t="s">
        <v>23</v>
      </c>
      <c r="B17" s="7">
        <v>2</v>
      </c>
      <c r="C17" s="7" t="s">
        <v>4</v>
      </c>
      <c r="D17" s="7" t="s">
        <v>2</v>
      </c>
      <c r="E17" s="38">
        <v>2.79</v>
      </c>
      <c r="F17" s="38">
        <v>3.55</v>
      </c>
      <c r="G17" s="38">
        <v>3.64</v>
      </c>
      <c r="H17" s="38">
        <v>3.8</v>
      </c>
      <c r="I17" s="38">
        <v>4.79</v>
      </c>
      <c r="J17" s="38">
        <v>4.3099999999999996</v>
      </c>
      <c r="K17" s="38">
        <v>5.0599999999999996</v>
      </c>
      <c r="L17" s="38">
        <v>5.83</v>
      </c>
      <c r="M17" s="38">
        <v>3.73</v>
      </c>
      <c r="N17" s="38">
        <v>3.21</v>
      </c>
      <c r="O17" s="38">
        <v>3.61</v>
      </c>
      <c r="P17" s="38">
        <v>3.9</v>
      </c>
      <c r="Q17" s="38">
        <v>3.61</v>
      </c>
      <c r="R17" s="38">
        <v>3.39</v>
      </c>
      <c r="S17" s="38">
        <v>3.88</v>
      </c>
      <c r="T17" s="38">
        <v>3.65</v>
      </c>
      <c r="U17" s="7">
        <f t="shared" si="0"/>
        <v>4</v>
      </c>
      <c r="V17" s="39">
        <f t="shared" si="1"/>
        <v>0.25</v>
      </c>
    </row>
    <row r="18" spans="1:22" x14ac:dyDescent="0.25">
      <c r="A18" s="43" t="s">
        <v>24</v>
      </c>
      <c r="B18" s="7">
        <v>2</v>
      </c>
      <c r="C18" s="7" t="s">
        <v>4</v>
      </c>
      <c r="D18" s="7" t="s">
        <v>7</v>
      </c>
      <c r="E18" s="38">
        <v>3.62</v>
      </c>
      <c r="F18" s="38">
        <v>3.38</v>
      </c>
      <c r="G18" s="38">
        <v>3.26</v>
      </c>
      <c r="H18" s="38">
        <v>3.26</v>
      </c>
      <c r="I18" s="38">
        <v>4.09</v>
      </c>
      <c r="J18" s="38">
        <v>4.97</v>
      </c>
      <c r="K18" s="38">
        <v>5.0199999999999996</v>
      </c>
      <c r="L18" s="38">
        <v>4.72</v>
      </c>
      <c r="M18" s="38">
        <v>2.95</v>
      </c>
      <c r="N18" s="38">
        <v>3.28</v>
      </c>
      <c r="O18" s="38">
        <v>3.99</v>
      </c>
      <c r="P18" s="38">
        <v>3.34</v>
      </c>
      <c r="Q18" s="38">
        <v>3.47</v>
      </c>
      <c r="R18" s="38">
        <v>3.37</v>
      </c>
      <c r="S18" s="38">
        <v>3.75</v>
      </c>
      <c r="T18" s="38">
        <v>3.53</v>
      </c>
      <c r="U18" s="7">
        <f t="shared" si="0"/>
        <v>4</v>
      </c>
      <c r="V18" s="39">
        <f t="shared" si="1"/>
        <v>0.25</v>
      </c>
    </row>
    <row r="19" spans="1:22" x14ac:dyDescent="0.25">
      <c r="A19" s="43" t="s">
        <v>25</v>
      </c>
      <c r="B19" s="7">
        <v>2</v>
      </c>
      <c r="C19" s="7" t="s">
        <v>4</v>
      </c>
      <c r="D19" s="7" t="s">
        <v>12</v>
      </c>
      <c r="E19" s="38">
        <v>3.15</v>
      </c>
      <c r="F19" s="38">
        <v>3.61</v>
      </c>
      <c r="G19" s="38">
        <v>3.25</v>
      </c>
      <c r="H19" s="38">
        <v>3.56</v>
      </c>
      <c r="I19" s="38">
        <v>4.5</v>
      </c>
      <c r="J19" s="38">
        <v>4.87</v>
      </c>
      <c r="K19" s="38">
        <v>3.73</v>
      </c>
      <c r="L19" s="38">
        <v>5.0999999999999996</v>
      </c>
      <c r="M19" s="38">
        <v>2.9</v>
      </c>
      <c r="N19" s="38">
        <v>3.1</v>
      </c>
      <c r="O19" s="38">
        <v>3.3</v>
      </c>
      <c r="P19" s="38">
        <v>2.84</v>
      </c>
      <c r="Q19" s="38">
        <v>3.78</v>
      </c>
      <c r="R19" s="38">
        <v>3.59</v>
      </c>
      <c r="S19" s="38">
        <v>3.72</v>
      </c>
      <c r="T19" s="38">
        <v>3.22</v>
      </c>
      <c r="U19" s="7">
        <f t="shared" si="0"/>
        <v>3</v>
      </c>
      <c r="V19" s="39">
        <f t="shared" si="1"/>
        <v>0.1875</v>
      </c>
    </row>
    <row r="20" spans="1:22" x14ac:dyDescent="0.25">
      <c r="A20" s="43" t="s">
        <v>26</v>
      </c>
      <c r="B20" s="7">
        <v>2</v>
      </c>
      <c r="C20" s="7" t="s">
        <v>6</v>
      </c>
      <c r="D20" s="7" t="s">
        <v>7</v>
      </c>
      <c r="E20" s="38">
        <v>3.84</v>
      </c>
      <c r="F20" s="38">
        <v>3.2</v>
      </c>
      <c r="G20" s="38">
        <v>3.62</v>
      </c>
      <c r="H20" s="38">
        <v>3.52</v>
      </c>
      <c r="I20" s="38">
        <v>4.5</v>
      </c>
      <c r="J20" s="38">
        <v>5.4</v>
      </c>
      <c r="K20" s="38">
        <v>4.9000000000000004</v>
      </c>
      <c r="L20" s="38">
        <v>5.25</v>
      </c>
      <c r="M20" s="38">
        <v>3.8</v>
      </c>
      <c r="N20" s="38">
        <v>3.74</v>
      </c>
      <c r="O20" s="38">
        <v>3.04</v>
      </c>
      <c r="P20" s="38">
        <v>3.88</v>
      </c>
      <c r="Q20" s="38">
        <v>3.66</v>
      </c>
      <c r="R20" s="38">
        <v>3.9</v>
      </c>
      <c r="S20" s="38">
        <v>3.26</v>
      </c>
      <c r="T20" s="38">
        <v>3.9</v>
      </c>
      <c r="U20" s="7">
        <f t="shared" si="0"/>
        <v>4</v>
      </c>
      <c r="V20" s="39">
        <f t="shared" si="1"/>
        <v>0.25</v>
      </c>
    </row>
    <row r="21" spans="1:22" x14ac:dyDescent="0.25">
      <c r="A21" s="43" t="s">
        <v>27</v>
      </c>
      <c r="B21" s="7">
        <v>2</v>
      </c>
      <c r="C21" s="7" t="s">
        <v>6</v>
      </c>
      <c r="D21" s="7" t="s">
        <v>12</v>
      </c>
      <c r="E21" s="38">
        <v>3.54</v>
      </c>
      <c r="F21" s="38">
        <v>3.61</v>
      </c>
      <c r="G21" s="38">
        <v>3.84</v>
      </c>
      <c r="H21" s="38">
        <v>3.69</v>
      </c>
      <c r="I21" s="38">
        <v>4.5</v>
      </c>
      <c r="J21" s="38">
        <v>4.62</v>
      </c>
      <c r="K21" s="38">
        <v>4.3899999999999997</v>
      </c>
      <c r="L21" s="38">
        <v>4.42</v>
      </c>
      <c r="M21" s="38">
        <v>3.22</v>
      </c>
      <c r="N21" s="38">
        <v>3.56</v>
      </c>
      <c r="O21" s="38">
        <v>3.9</v>
      </c>
      <c r="P21" s="38">
        <v>3.58</v>
      </c>
      <c r="Q21" s="38">
        <v>3.73</v>
      </c>
      <c r="R21" s="38">
        <v>3.86</v>
      </c>
      <c r="S21" s="38">
        <v>3.62</v>
      </c>
      <c r="T21" s="38">
        <v>3.57</v>
      </c>
      <c r="U21" s="7">
        <f t="shared" si="0"/>
        <v>4</v>
      </c>
      <c r="V21" s="39">
        <f t="shared" si="1"/>
        <v>0.25</v>
      </c>
    </row>
    <row r="22" spans="1:22" x14ac:dyDescent="0.25">
      <c r="A22" s="43" t="s">
        <v>28</v>
      </c>
      <c r="B22" s="7">
        <v>2</v>
      </c>
      <c r="C22" s="7" t="s">
        <v>6</v>
      </c>
      <c r="D22" s="7" t="s">
        <v>18</v>
      </c>
      <c r="E22" s="38">
        <v>4</v>
      </c>
      <c r="F22" s="38">
        <v>3.62</v>
      </c>
      <c r="G22" s="38">
        <v>3.27</v>
      </c>
      <c r="H22" s="38">
        <v>4.28</v>
      </c>
      <c r="I22" s="38">
        <v>3.96</v>
      </c>
      <c r="J22" s="38">
        <v>3.73</v>
      </c>
      <c r="K22" s="38">
        <v>5.4</v>
      </c>
      <c r="L22" s="38">
        <v>5.26</v>
      </c>
      <c r="M22" s="38">
        <v>3.08</v>
      </c>
      <c r="N22" s="38">
        <v>4.3099999999999996</v>
      </c>
      <c r="O22" s="38">
        <v>4.37</v>
      </c>
      <c r="P22" s="38">
        <v>4.01</v>
      </c>
      <c r="Q22" s="38">
        <v>3.78</v>
      </c>
      <c r="R22" s="38">
        <v>3.97</v>
      </c>
      <c r="S22" s="38">
        <v>3.95</v>
      </c>
      <c r="T22" s="38">
        <v>3.93</v>
      </c>
      <c r="U22" s="7">
        <f t="shared" si="0"/>
        <v>6</v>
      </c>
      <c r="V22" s="39">
        <f t="shared" si="1"/>
        <v>0.375</v>
      </c>
    </row>
    <row r="23" spans="1:22" x14ac:dyDescent="0.25">
      <c r="A23" s="43" t="s">
        <v>29</v>
      </c>
      <c r="B23" s="7">
        <v>2</v>
      </c>
      <c r="C23" s="7" t="s">
        <v>9</v>
      </c>
      <c r="D23" s="7" t="s">
        <v>2</v>
      </c>
      <c r="E23" s="38">
        <v>4.0199999999999996</v>
      </c>
      <c r="F23" s="38">
        <v>4.1900000000000004</v>
      </c>
      <c r="G23" s="38">
        <v>3.67</v>
      </c>
      <c r="H23" s="38">
        <v>3.8</v>
      </c>
      <c r="I23" s="38">
        <v>4.53</v>
      </c>
      <c r="J23" s="38">
        <v>5</v>
      </c>
      <c r="K23" s="38">
        <v>4.66</v>
      </c>
      <c r="L23" s="38">
        <v>4.22</v>
      </c>
      <c r="M23" s="38">
        <v>2.91</v>
      </c>
      <c r="N23" s="38">
        <v>3.44</v>
      </c>
      <c r="O23" s="38">
        <v>3.09</v>
      </c>
      <c r="P23" s="38">
        <v>3.82</v>
      </c>
      <c r="Q23" s="38">
        <v>3.75</v>
      </c>
      <c r="R23" s="38">
        <v>3.89</v>
      </c>
      <c r="S23" s="38">
        <v>3.86</v>
      </c>
      <c r="T23" s="38">
        <v>3.02</v>
      </c>
      <c r="U23" s="7">
        <f t="shared" si="0"/>
        <v>6</v>
      </c>
      <c r="V23" s="39">
        <f t="shared" si="1"/>
        <v>0.375</v>
      </c>
    </row>
    <row r="24" spans="1:22" x14ac:dyDescent="0.25">
      <c r="A24" s="43" t="s">
        <v>30</v>
      </c>
      <c r="B24" s="7">
        <v>2</v>
      </c>
      <c r="C24" s="7" t="s">
        <v>9</v>
      </c>
      <c r="D24" s="7" t="s">
        <v>12</v>
      </c>
      <c r="E24" s="38">
        <v>4.0599999999999996</v>
      </c>
      <c r="F24" s="38">
        <v>3.71</v>
      </c>
      <c r="G24" s="38">
        <v>3.65</v>
      </c>
      <c r="H24" s="38">
        <v>3.35</v>
      </c>
      <c r="I24" s="38">
        <v>3.9</v>
      </c>
      <c r="J24" s="38">
        <v>4.71</v>
      </c>
      <c r="K24" s="38">
        <v>5.46</v>
      </c>
      <c r="L24" s="38">
        <v>4.84</v>
      </c>
      <c r="M24" s="38">
        <v>3.4</v>
      </c>
      <c r="N24" s="38">
        <v>3.98</v>
      </c>
      <c r="O24" s="38">
        <v>2.91</v>
      </c>
      <c r="P24" s="38">
        <v>3.78</v>
      </c>
      <c r="Q24" s="38">
        <v>3.41</v>
      </c>
      <c r="R24" s="38">
        <v>3.63</v>
      </c>
      <c r="S24" s="38">
        <v>3.9</v>
      </c>
      <c r="T24" s="38">
        <v>3.78</v>
      </c>
      <c r="U24" s="7">
        <f t="shared" si="0"/>
        <v>4</v>
      </c>
      <c r="V24" s="39">
        <f t="shared" si="1"/>
        <v>0.25</v>
      </c>
    </row>
    <row r="25" spans="1:22" x14ac:dyDescent="0.25">
      <c r="A25" s="43" t="s">
        <v>31</v>
      </c>
      <c r="B25" s="7">
        <v>2</v>
      </c>
      <c r="C25" s="7" t="s">
        <v>9</v>
      </c>
      <c r="D25" s="7" t="s">
        <v>7</v>
      </c>
      <c r="E25" s="38">
        <v>3.75</v>
      </c>
      <c r="F25" s="38">
        <v>3.11</v>
      </c>
      <c r="G25" s="38">
        <v>3.97</v>
      </c>
      <c r="H25" s="38">
        <v>3.66</v>
      </c>
      <c r="I25" s="38">
        <v>5.19</v>
      </c>
      <c r="J25" s="38">
        <v>5</v>
      </c>
      <c r="K25" s="38">
        <v>4.84</v>
      </c>
      <c r="L25" s="38">
        <v>5.3</v>
      </c>
      <c r="M25" s="38">
        <v>4.0199999999999996</v>
      </c>
      <c r="N25" s="38">
        <v>3.9</v>
      </c>
      <c r="O25" s="38">
        <v>3.4</v>
      </c>
      <c r="P25" s="38">
        <v>3.29</v>
      </c>
      <c r="Q25" s="38">
        <v>3.25</v>
      </c>
      <c r="R25" s="38">
        <v>4.04</v>
      </c>
      <c r="S25" s="38">
        <v>4.2300000000000004</v>
      </c>
      <c r="T25" s="38">
        <v>3.58</v>
      </c>
      <c r="U25" s="7">
        <f t="shared" si="0"/>
        <v>7</v>
      </c>
      <c r="V25" s="39">
        <f t="shared" si="1"/>
        <v>0.4375</v>
      </c>
    </row>
    <row r="26" spans="1:22" x14ac:dyDescent="0.25">
      <c r="A26" s="43" t="s">
        <v>32</v>
      </c>
      <c r="B26" s="7">
        <v>3</v>
      </c>
      <c r="C26" s="7" t="s">
        <v>1</v>
      </c>
      <c r="D26" s="7" t="s">
        <v>7</v>
      </c>
      <c r="E26" s="38">
        <v>3.38</v>
      </c>
      <c r="F26" s="38">
        <v>3.62</v>
      </c>
      <c r="G26" s="38">
        <v>3.2</v>
      </c>
      <c r="H26" s="38">
        <v>3.03</v>
      </c>
      <c r="I26" s="38">
        <v>4.37</v>
      </c>
      <c r="J26" s="38">
        <v>4.66</v>
      </c>
      <c r="K26" s="38">
        <v>5</v>
      </c>
      <c r="L26" s="38">
        <v>3.45</v>
      </c>
      <c r="M26" s="38">
        <v>3.03</v>
      </c>
      <c r="N26" s="38">
        <v>3.48</v>
      </c>
      <c r="O26" s="38">
        <v>3.97</v>
      </c>
      <c r="P26" s="38">
        <v>3.59</v>
      </c>
      <c r="Q26" s="38">
        <v>3.46</v>
      </c>
      <c r="R26" s="38">
        <v>3.43</v>
      </c>
      <c r="S26" s="38">
        <v>3.32</v>
      </c>
      <c r="T26" s="38">
        <v>3.07</v>
      </c>
      <c r="U26" s="7">
        <f t="shared" si="0"/>
        <v>3</v>
      </c>
      <c r="V26" s="39">
        <f t="shared" si="1"/>
        <v>0.1875</v>
      </c>
    </row>
    <row r="27" spans="1:22" x14ac:dyDescent="0.25">
      <c r="A27" s="43" t="s">
        <v>33</v>
      </c>
      <c r="B27" s="7">
        <v>3</v>
      </c>
      <c r="C27" s="7" t="s">
        <v>1</v>
      </c>
      <c r="D27" s="7" t="s">
        <v>2</v>
      </c>
      <c r="E27" s="38">
        <v>3.95</v>
      </c>
      <c r="F27" s="38">
        <v>3.6</v>
      </c>
      <c r="G27" s="38">
        <v>3.88</v>
      </c>
      <c r="H27" s="38">
        <v>3.1</v>
      </c>
      <c r="I27" s="38">
        <v>4.5</v>
      </c>
      <c r="J27" s="38">
        <v>6.31</v>
      </c>
      <c r="K27" s="38">
        <v>4.0999999999999996</v>
      </c>
      <c r="L27" s="38">
        <v>3.77</v>
      </c>
      <c r="M27" s="38">
        <v>3.2</v>
      </c>
      <c r="N27" s="38">
        <v>3.09</v>
      </c>
      <c r="O27" s="38">
        <v>3.48</v>
      </c>
      <c r="P27" s="38">
        <v>2.95</v>
      </c>
      <c r="Q27" s="38">
        <v>3.76</v>
      </c>
      <c r="R27" s="38">
        <v>3.63</v>
      </c>
      <c r="S27" s="38">
        <v>3.19</v>
      </c>
      <c r="T27" s="38">
        <v>3.75</v>
      </c>
      <c r="U27" s="7">
        <f t="shared" si="0"/>
        <v>3</v>
      </c>
      <c r="V27" s="39">
        <f t="shared" si="1"/>
        <v>0.1875</v>
      </c>
    </row>
    <row r="28" spans="1:22" x14ac:dyDescent="0.25">
      <c r="A28" s="43" t="s">
        <v>34</v>
      </c>
      <c r="B28" s="7">
        <v>3</v>
      </c>
      <c r="C28" s="7" t="s">
        <v>1</v>
      </c>
      <c r="D28" s="7" t="s">
        <v>12</v>
      </c>
      <c r="E28" s="38">
        <v>3.15</v>
      </c>
      <c r="F28" s="38">
        <v>3.9</v>
      </c>
      <c r="G28" s="38">
        <v>3.31</v>
      </c>
      <c r="H28" s="38">
        <v>3.31</v>
      </c>
      <c r="I28" s="38">
        <v>4.45</v>
      </c>
      <c r="J28" s="38">
        <v>4.24</v>
      </c>
      <c r="K28" s="38">
        <v>4.6399999999999997</v>
      </c>
      <c r="L28" s="38">
        <v>4.66</v>
      </c>
      <c r="M28" s="38">
        <v>3.29</v>
      </c>
      <c r="N28" s="38">
        <v>3.39</v>
      </c>
      <c r="O28" s="38">
        <v>3.9</v>
      </c>
      <c r="P28" s="38">
        <v>3.15</v>
      </c>
      <c r="Q28" s="38">
        <v>3.4</v>
      </c>
      <c r="R28" s="38">
        <v>3.9</v>
      </c>
      <c r="S28" s="38">
        <v>3.35</v>
      </c>
      <c r="T28" s="38">
        <v>3.03</v>
      </c>
      <c r="U28" s="7">
        <f t="shared" si="0"/>
        <v>4</v>
      </c>
      <c r="V28" s="39">
        <f t="shared" si="1"/>
        <v>0.25</v>
      </c>
    </row>
    <row r="29" spans="1:22" x14ac:dyDescent="0.25">
      <c r="A29" s="43" t="s">
        <v>35</v>
      </c>
      <c r="B29" s="7">
        <v>3</v>
      </c>
      <c r="C29" s="7" t="s">
        <v>4</v>
      </c>
      <c r="D29" s="7" t="s">
        <v>12</v>
      </c>
      <c r="E29" s="38">
        <v>3.49</v>
      </c>
      <c r="F29" s="38">
        <v>3.5</v>
      </c>
      <c r="G29" s="38">
        <v>3.67</v>
      </c>
      <c r="H29" s="38">
        <v>3.59</v>
      </c>
      <c r="I29" s="38">
        <v>4.01</v>
      </c>
      <c r="J29" s="38">
        <v>4.37</v>
      </c>
      <c r="K29" s="38">
        <v>4.5</v>
      </c>
      <c r="L29" s="38">
        <v>5.47</v>
      </c>
      <c r="M29" s="38">
        <v>4.5</v>
      </c>
      <c r="N29" s="38">
        <v>3.93</v>
      </c>
      <c r="O29" s="38">
        <v>3.48</v>
      </c>
      <c r="P29" s="38">
        <v>3.18</v>
      </c>
      <c r="Q29" s="38">
        <v>2.94</v>
      </c>
      <c r="R29" s="38">
        <v>3.38</v>
      </c>
      <c r="S29" s="38">
        <v>3.09</v>
      </c>
      <c r="T29" s="38">
        <v>3.61</v>
      </c>
      <c r="U29" s="7">
        <f t="shared" si="0"/>
        <v>5</v>
      </c>
      <c r="V29" s="39">
        <f t="shared" si="1"/>
        <v>0.3125</v>
      </c>
    </row>
    <row r="30" spans="1:22" x14ac:dyDescent="0.25">
      <c r="A30" s="43" t="s">
        <v>36</v>
      </c>
      <c r="B30" s="7">
        <v>3</v>
      </c>
      <c r="C30" s="7" t="s">
        <v>4</v>
      </c>
      <c r="D30" s="7" t="s">
        <v>7</v>
      </c>
      <c r="E30" s="38">
        <v>3.43</v>
      </c>
      <c r="F30" s="38">
        <v>3.55</v>
      </c>
      <c r="G30" s="38">
        <v>3.44</v>
      </c>
      <c r="H30" s="38">
        <v>3.22</v>
      </c>
      <c r="I30" s="38">
        <v>5.43</v>
      </c>
      <c r="J30" s="38">
        <v>5.97</v>
      </c>
      <c r="K30" s="38">
        <v>3.97</v>
      </c>
      <c r="L30" s="38">
        <v>4.63</v>
      </c>
      <c r="M30" s="38">
        <v>3.24</v>
      </c>
      <c r="N30" s="38">
        <v>3.23</v>
      </c>
      <c r="O30" s="38">
        <v>3.44</v>
      </c>
      <c r="P30" s="38">
        <v>3.65</v>
      </c>
      <c r="Q30" s="38">
        <v>3.27</v>
      </c>
      <c r="R30" s="38">
        <v>3.15</v>
      </c>
      <c r="S30" s="38">
        <v>3.69</v>
      </c>
      <c r="T30" s="38">
        <v>3.58</v>
      </c>
      <c r="U30" s="7">
        <f t="shared" si="0"/>
        <v>3</v>
      </c>
      <c r="V30" s="39">
        <f t="shared" si="1"/>
        <v>0.1875</v>
      </c>
    </row>
    <row r="31" spans="1:22" x14ac:dyDescent="0.25">
      <c r="A31" s="43" t="s">
        <v>37</v>
      </c>
      <c r="B31" s="7">
        <v>3</v>
      </c>
      <c r="C31" s="7" t="s">
        <v>4</v>
      </c>
      <c r="D31" s="7" t="s">
        <v>2</v>
      </c>
      <c r="E31" s="38">
        <v>2.92</v>
      </c>
      <c r="F31" s="38">
        <v>3.14</v>
      </c>
      <c r="G31" s="38">
        <v>3.38</v>
      </c>
      <c r="H31" s="38">
        <v>3.66</v>
      </c>
      <c r="I31" s="38">
        <v>4.93</v>
      </c>
      <c r="J31" s="38">
        <v>3.57</v>
      </c>
      <c r="K31" s="38">
        <v>4.3</v>
      </c>
      <c r="L31" s="38">
        <v>4.0999999999999996</v>
      </c>
      <c r="M31" s="38">
        <v>3.66</v>
      </c>
      <c r="N31" s="38">
        <v>3.71</v>
      </c>
      <c r="O31" s="38">
        <v>3.61</v>
      </c>
      <c r="P31" s="38">
        <v>3.43</v>
      </c>
      <c r="Q31" s="38">
        <v>3.58</v>
      </c>
      <c r="R31" s="38">
        <v>3.58</v>
      </c>
      <c r="S31" s="38">
        <v>3.46</v>
      </c>
      <c r="T31" s="38">
        <v>3.3</v>
      </c>
      <c r="U31" s="7">
        <f t="shared" si="0"/>
        <v>3</v>
      </c>
      <c r="V31" s="39">
        <f t="shared" si="1"/>
        <v>0.1875</v>
      </c>
    </row>
    <row r="32" spans="1:22" x14ac:dyDescent="0.25">
      <c r="A32" s="43" t="s">
        <v>38</v>
      </c>
      <c r="B32" s="7">
        <v>3</v>
      </c>
      <c r="C32" s="7" t="s">
        <v>6</v>
      </c>
      <c r="D32" s="7" t="s">
        <v>12</v>
      </c>
      <c r="E32" s="38">
        <v>3.4</v>
      </c>
      <c r="F32" s="38">
        <v>3.39</v>
      </c>
      <c r="G32" s="38">
        <v>3.9</v>
      </c>
      <c r="H32" s="38">
        <v>4</v>
      </c>
      <c r="I32" s="38">
        <v>4.5</v>
      </c>
      <c r="J32" s="38">
        <v>3.85</v>
      </c>
      <c r="K32" s="38">
        <v>4.0599999999999996</v>
      </c>
      <c r="L32" s="38">
        <v>2.86</v>
      </c>
      <c r="M32" s="38">
        <v>3.68</v>
      </c>
      <c r="N32" s="38">
        <v>3.67</v>
      </c>
      <c r="O32" s="38">
        <v>4</v>
      </c>
      <c r="P32" s="38">
        <v>3.3</v>
      </c>
      <c r="Q32" s="38">
        <v>3.66</v>
      </c>
      <c r="R32" s="38">
        <v>3.49</v>
      </c>
      <c r="S32" s="38">
        <v>3.31</v>
      </c>
      <c r="T32" s="38">
        <v>3.63</v>
      </c>
      <c r="U32" s="7">
        <f t="shared" si="0"/>
        <v>2</v>
      </c>
      <c r="V32" s="39">
        <f t="shared" si="1"/>
        <v>0.125</v>
      </c>
    </row>
    <row r="33" spans="1:22" x14ac:dyDescent="0.25">
      <c r="A33" s="43" t="s">
        <v>39</v>
      </c>
      <c r="B33" s="7">
        <v>3</v>
      </c>
      <c r="C33" s="7" t="s">
        <v>6</v>
      </c>
      <c r="D33" s="7" t="s">
        <v>18</v>
      </c>
      <c r="E33" s="38">
        <v>3.69</v>
      </c>
      <c r="F33" s="38">
        <v>3.75</v>
      </c>
      <c r="G33" s="38">
        <v>3.69</v>
      </c>
      <c r="H33" s="38">
        <v>3.09</v>
      </c>
      <c r="I33" s="38">
        <v>5.4</v>
      </c>
      <c r="J33" s="38">
        <v>4.9800000000000004</v>
      </c>
      <c r="K33" s="38">
        <v>5.12</v>
      </c>
      <c r="L33" s="38">
        <v>5.13</v>
      </c>
      <c r="M33" s="38">
        <v>3.53</v>
      </c>
      <c r="N33" s="38">
        <v>3.51</v>
      </c>
      <c r="O33" s="38">
        <v>3.5</v>
      </c>
      <c r="P33" s="38">
        <v>3.44</v>
      </c>
      <c r="Q33" s="38">
        <v>3.79</v>
      </c>
      <c r="R33" s="38">
        <v>3.61</v>
      </c>
      <c r="S33" s="38">
        <v>3.59</v>
      </c>
      <c r="T33" s="38">
        <v>3.27</v>
      </c>
      <c r="U33" s="7">
        <f t="shared" si="0"/>
        <v>4</v>
      </c>
      <c r="V33" s="39">
        <f t="shared" si="1"/>
        <v>0.25</v>
      </c>
    </row>
    <row r="34" spans="1:22" x14ac:dyDescent="0.25">
      <c r="A34" s="43" t="s">
        <v>40</v>
      </c>
      <c r="B34" s="7">
        <v>3</v>
      </c>
      <c r="C34" s="7" t="s">
        <v>6</v>
      </c>
      <c r="D34" s="7" t="s">
        <v>7</v>
      </c>
      <c r="E34" s="38">
        <v>3.69</v>
      </c>
      <c r="F34" s="38">
        <v>3.33</v>
      </c>
      <c r="G34" s="38">
        <v>3.69</v>
      </c>
      <c r="H34" s="38">
        <v>3.58</v>
      </c>
      <c r="I34" s="38">
        <v>4.41</v>
      </c>
      <c r="J34" s="38">
        <v>4.03</v>
      </c>
      <c r="K34" s="38">
        <v>5.36</v>
      </c>
      <c r="L34" s="38">
        <v>3.81</v>
      </c>
      <c r="M34" s="38">
        <v>3</v>
      </c>
      <c r="N34" s="38">
        <v>3.43</v>
      </c>
      <c r="O34" s="38">
        <v>3.61</v>
      </c>
      <c r="P34" s="38">
        <v>3.54</v>
      </c>
      <c r="Q34" s="38">
        <v>3.28</v>
      </c>
      <c r="R34" s="38">
        <v>3.51</v>
      </c>
      <c r="S34" s="38">
        <v>3.34</v>
      </c>
      <c r="T34" s="38">
        <v>3.31</v>
      </c>
      <c r="U34" s="7">
        <f t="shared" si="0"/>
        <v>3</v>
      </c>
      <c r="V34" s="39">
        <f t="shared" si="1"/>
        <v>0.1875</v>
      </c>
    </row>
    <row r="35" spans="1:22" x14ac:dyDescent="0.25">
      <c r="A35" s="43" t="s">
        <v>41</v>
      </c>
      <c r="B35" s="7">
        <v>3</v>
      </c>
      <c r="C35" s="7" t="s">
        <v>9</v>
      </c>
      <c r="D35" s="7" t="s">
        <v>18</v>
      </c>
      <c r="E35" s="38">
        <v>3.69</v>
      </c>
      <c r="F35" s="38">
        <v>3.7</v>
      </c>
      <c r="G35" s="38">
        <v>3.65</v>
      </c>
      <c r="H35" s="38">
        <v>4.18</v>
      </c>
      <c r="I35" s="38">
        <v>4.6100000000000003</v>
      </c>
      <c r="J35" s="38">
        <v>4.92</v>
      </c>
      <c r="K35" s="38">
        <v>4.8</v>
      </c>
      <c r="L35" s="38">
        <v>3.59</v>
      </c>
      <c r="M35" s="38">
        <v>4.0999999999999996</v>
      </c>
      <c r="N35" s="38">
        <v>3.64</v>
      </c>
      <c r="O35" s="38">
        <v>4.5</v>
      </c>
      <c r="P35" s="38">
        <v>3.08</v>
      </c>
      <c r="Q35" s="38">
        <v>3.81</v>
      </c>
      <c r="R35" s="38">
        <v>4.28</v>
      </c>
      <c r="S35" s="38">
        <v>3.71</v>
      </c>
      <c r="T35" s="38">
        <v>3.42</v>
      </c>
      <c r="U35" s="7">
        <f t="shared" si="0"/>
        <v>7</v>
      </c>
      <c r="V35" s="39">
        <f t="shared" si="1"/>
        <v>0.4375</v>
      </c>
    </row>
    <row r="36" spans="1:22" x14ac:dyDescent="0.25">
      <c r="A36" s="43" t="s">
        <v>42</v>
      </c>
      <c r="B36" s="7">
        <v>3</v>
      </c>
      <c r="C36" s="7" t="s">
        <v>9</v>
      </c>
      <c r="D36" s="7" t="s">
        <v>12</v>
      </c>
      <c r="E36" s="38">
        <v>3.69</v>
      </c>
      <c r="F36" s="38">
        <v>3.79</v>
      </c>
      <c r="G36" s="38">
        <v>3.54</v>
      </c>
      <c r="H36" s="38">
        <v>3.9</v>
      </c>
      <c r="I36" s="38">
        <v>4.2</v>
      </c>
      <c r="J36" s="38">
        <v>4.83</v>
      </c>
      <c r="K36" s="38">
        <v>5.15</v>
      </c>
      <c r="L36" s="38">
        <v>5.27</v>
      </c>
      <c r="M36" s="38">
        <v>3.14</v>
      </c>
      <c r="N36" s="38">
        <v>3.9</v>
      </c>
      <c r="O36" s="38">
        <v>3.49</v>
      </c>
      <c r="P36" s="38">
        <v>3.76</v>
      </c>
      <c r="Q36" s="38">
        <v>3.55</v>
      </c>
      <c r="R36" s="38">
        <v>3.73</v>
      </c>
      <c r="S36" s="38">
        <v>4.08</v>
      </c>
      <c r="T36" s="38">
        <v>3.5</v>
      </c>
      <c r="U36" s="7">
        <f t="shared" si="0"/>
        <v>5</v>
      </c>
      <c r="V36" s="39">
        <f t="shared" si="1"/>
        <v>0.3125</v>
      </c>
    </row>
    <row r="37" spans="1:22" x14ac:dyDescent="0.25">
      <c r="A37" s="43" t="s">
        <v>43</v>
      </c>
      <c r="B37" s="7">
        <v>3</v>
      </c>
      <c r="C37" s="7" t="s">
        <v>9</v>
      </c>
      <c r="D37" s="7" t="s">
        <v>2</v>
      </c>
      <c r="E37" s="38">
        <v>3.69</v>
      </c>
      <c r="F37" s="38">
        <v>3.76</v>
      </c>
      <c r="G37" s="38">
        <v>3.58</v>
      </c>
      <c r="H37" s="38">
        <v>3.42</v>
      </c>
      <c r="I37" s="38">
        <v>5.0599999999999996</v>
      </c>
      <c r="J37" s="38">
        <v>6.12</v>
      </c>
      <c r="K37" s="38">
        <v>5.71</v>
      </c>
      <c r="L37" s="38">
        <v>4.1399999999999997</v>
      </c>
      <c r="M37" s="38">
        <v>3.9</v>
      </c>
      <c r="N37" s="38">
        <v>3.55</v>
      </c>
      <c r="O37" s="38">
        <v>3.97</v>
      </c>
      <c r="P37" s="38">
        <v>3.62</v>
      </c>
      <c r="Q37" s="38">
        <v>3.57</v>
      </c>
      <c r="R37" s="38">
        <v>3.97</v>
      </c>
      <c r="S37" s="38">
        <v>2.99</v>
      </c>
      <c r="T37" s="38">
        <v>3.4</v>
      </c>
      <c r="U37" s="7">
        <f t="shared" si="0"/>
        <v>4</v>
      </c>
      <c r="V37" s="39">
        <f t="shared" si="1"/>
        <v>0.25</v>
      </c>
    </row>
    <row r="38" spans="1:22" x14ac:dyDescent="0.25">
      <c r="A38" s="43" t="s">
        <v>44</v>
      </c>
      <c r="B38" s="7">
        <v>4</v>
      </c>
      <c r="C38" s="7" t="s">
        <v>1</v>
      </c>
      <c r="D38" s="7" t="s">
        <v>18</v>
      </c>
      <c r="E38" s="38">
        <v>3.69</v>
      </c>
      <c r="F38" s="38">
        <v>2.98</v>
      </c>
      <c r="G38" s="38">
        <v>3.35</v>
      </c>
      <c r="H38" s="38">
        <v>3.52</v>
      </c>
      <c r="I38" s="38">
        <v>4.58</v>
      </c>
      <c r="J38" s="38">
        <v>4.79</v>
      </c>
      <c r="K38" s="38">
        <v>5.66</v>
      </c>
      <c r="L38" s="38">
        <v>5.31</v>
      </c>
      <c r="M38" s="38">
        <v>3.52</v>
      </c>
      <c r="N38" s="38">
        <v>3</v>
      </c>
      <c r="O38" s="38">
        <v>3.39</v>
      </c>
      <c r="P38" s="38">
        <v>3.57</v>
      </c>
      <c r="Q38" s="38">
        <v>3.32</v>
      </c>
      <c r="R38" s="38">
        <v>4</v>
      </c>
      <c r="S38" s="38">
        <v>3.84</v>
      </c>
      <c r="T38" s="38">
        <v>2.82</v>
      </c>
      <c r="U38" s="7">
        <f t="shared" si="0"/>
        <v>4</v>
      </c>
      <c r="V38" s="39">
        <f t="shared" si="1"/>
        <v>0.25</v>
      </c>
    </row>
    <row r="39" spans="1:22" x14ac:dyDescent="0.25">
      <c r="A39" s="43" t="s">
        <v>45</v>
      </c>
      <c r="B39" s="7">
        <v>4</v>
      </c>
      <c r="C39" s="7" t="s">
        <v>1</v>
      </c>
      <c r="D39" s="7" t="s">
        <v>7</v>
      </c>
      <c r="E39" s="38">
        <v>3.69</v>
      </c>
      <c r="F39" s="38">
        <v>3.77</v>
      </c>
      <c r="G39" s="38">
        <v>3.32</v>
      </c>
      <c r="H39" s="38">
        <v>3.07</v>
      </c>
      <c r="I39" s="38">
        <v>5.34</v>
      </c>
      <c r="J39" s="38">
        <v>5</v>
      </c>
      <c r="K39" s="38">
        <v>4.7699999999999996</v>
      </c>
      <c r="L39" s="38">
        <v>5.0999999999999996</v>
      </c>
      <c r="M39" s="38">
        <v>3.43</v>
      </c>
      <c r="N39" s="38">
        <v>3</v>
      </c>
      <c r="O39" s="38">
        <v>3.71</v>
      </c>
      <c r="P39" s="38">
        <v>2.9</v>
      </c>
      <c r="Q39" s="38">
        <v>3.65</v>
      </c>
      <c r="R39" s="38">
        <v>3.38</v>
      </c>
      <c r="S39" s="38">
        <v>3.72</v>
      </c>
      <c r="T39" s="38">
        <v>3.86</v>
      </c>
      <c r="U39" s="7">
        <f t="shared" si="0"/>
        <v>4</v>
      </c>
      <c r="V39" s="39">
        <f t="shared" si="1"/>
        <v>0.25</v>
      </c>
    </row>
    <row r="40" spans="1:22" x14ac:dyDescent="0.25">
      <c r="A40" s="43" t="s">
        <v>46</v>
      </c>
      <c r="B40" s="7">
        <v>4</v>
      </c>
      <c r="C40" s="7" t="s">
        <v>1</v>
      </c>
      <c r="D40" s="7" t="s">
        <v>2</v>
      </c>
      <c r="E40" s="38">
        <v>3.69</v>
      </c>
      <c r="F40" s="38">
        <v>3.12</v>
      </c>
      <c r="G40" s="38">
        <v>3.13</v>
      </c>
      <c r="H40" s="38">
        <v>3.77</v>
      </c>
      <c r="I40" s="38">
        <v>4.2699999999999996</v>
      </c>
      <c r="J40" s="38">
        <v>5.08</v>
      </c>
      <c r="K40" s="38">
        <v>5.29</v>
      </c>
      <c r="L40" s="38">
        <v>4.08</v>
      </c>
      <c r="M40" s="38">
        <v>2.97</v>
      </c>
      <c r="N40" s="38">
        <v>3.49</v>
      </c>
      <c r="O40" s="38">
        <v>3.9</v>
      </c>
      <c r="P40" s="38">
        <v>3.15</v>
      </c>
      <c r="Q40" s="38">
        <v>3.9</v>
      </c>
      <c r="R40" s="38">
        <v>3.14</v>
      </c>
      <c r="S40" s="38">
        <v>3.2</v>
      </c>
      <c r="T40" s="38">
        <v>2.96</v>
      </c>
      <c r="U40" s="7">
        <f t="shared" si="0"/>
        <v>4</v>
      </c>
      <c r="V40" s="39">
        <f t="shared" si="1"/>
        <v>0.25</v>
      </c>
    </row>
    <row r="41" spans="1:22" x14ac:dyDescent="0.25">
      <c r="A41" s="43" t="s">
        <v>47</v>
      </c>
      <c r="B41" s="7">
        <v>4</v>
      </c>
      <c r="C41" s="7" t="s">
        <v>4</v>
      </c>
      <c r="D41" s="7" t="s">
        <v>2</v>
      </c>
      <c r="E41" s="38">
        <v>3.69</v>
      </c>
      <c r="F41" s="38">
        <v>3.98</v>
      </c>
      <c r="G41" s="38">
        <v>3.76</v>
      </c>
      <c r="H41" s="38">
        <v>3.28</v>
      </c>
      <c r="I41" s="38">
        <v>4.93</v>
      </c>
      <c r="J41" s="38">
        <v>5</v>
      </c>
      <c r="K41" s="38">
        <v>5.23</v>
      </c>
      <c r="L41" s="38">
        <v>4.33</v>
      </c>
      <c r="M41" s="38">
        <v>3.38</v>
      </c>
      <c r="N41" s="38">
        <v>3.9</v>
      </c>
      <c r="O41" s="38">
        <v>3.7</v>
      </c>
      <c r="P41" s="38">
        <v>3.39</v>
      </c>
      <c r="Q41" s="38">
        <v>3.98</v>
      </c>
      <c r="R41" s="38">
        <v>3.79</v>
      </c>
      <c r="S41" s="38">
        <v>3.4</v>
      </c>
      <c r="T41" s="38">
        <v>3.57</v>
      </c>
      <c r="U41" s="7">
        <f t="shared" si="0"/>
        <v>4</v>
      </c>
      <c r="V41" s="39">
        <f t="shared" si="1"/>
        <v>0.25</v>
      </c>
    </row>
    <row r="42" spans="1:22" x14ac:dyDescent="0.25">
      <c r="A42" s="43" t="s">
        <v>48</v>
      </c>
      <c r="B42" s="7">
        <v>4</v>
      </c>
      <c r="C42" s="7" t="s">
        <v>4</v>
      </c>
      <c r="D42" s="7" t="s">
        <v>18</v>
      </c>
      <c r="E42" s="38">
        <v>3.69</v>
      </c>
      <c r="F42" s="38">
        <v>3.75</v>
      </c>
      <c r="G42" s="38">
        <v>4.13</v>
      </c>
      <c r="H42" s="38">
        <v>3.63</v>
      </c>
      <c r="I42" s="38">
        <v>5.9</v>
      </c>
      <c r="J42" s="38">
        <v>5.83</v>
      </c>
      <c r="K42" s="38">
        <v>6.48</v>
      </c>
      <c r="L42" s="38">
        <v>6.5</v>
      </c>
      <c r="M42" s="38">
        <v>3.98</v>
      </c>
      <c r="N42" s="38">
        <v>3.05</v>
      </c>
      <c r="O42" s="38">
        <v>3</v>
      </c>
      <c r="P42" s="38">
        <v>3.75</v>
      </c>
      <c r="Q42" s="38">
        <v>4.18</v>
      </c>
      <c r="R42" s="38">
        <v>3.61</v>
      </c>
      <c r="S42" s="38">
        <v>3.65</v>
      </c>
      <c r="T42" s="38">
        <v>4.2300000000000004</v>
      </c>
      <c r="U42" s="7">
        <f t="shared" si="0"/>
        <v>7</v>
      </c>
      <c r="V42" s="39">
        <f t="shared" si="1"/>
        <v>0.4375</v>
      </c>
    </row>
    <row r="43" spans="1:22" x14ac:dyDescent="0.25">
      <c r="A43" s="43" t="s">
        <v>49</v>
      </c>
      <c r="B43" s="7">
        <v>4</v>
      </c>
      <c r="C43" s="7" t="s">
        <v>4</v>
      </c>
      <c r="D43" s="7" t="s">
        <v>12</v>
      </c>
      <c r="E43" s="38">
        <v>3.69</v>
      </c>
      <c r="F43" s="38">
        <v>3.21</v>
      </c>
      <c r="G43" s="38">
        <v>3.63</v>
      </c>
      <c r="H43" s="38">
        <v>3.53</v>
      </c>
      <c r="I43" s="38">
        <v>5</v>
      </c>
      <c r="J43" s="38">
        <v>4.34</v>
      </c>
      <c r="K43" s="38">
        <v>4.1100000000000003</v>
      </c>
      <c r="L43" s="38">
        <v>3.47</v>
      </c>
      <c r="M43" s="38">
        <v>3.35</v>
      </c>
      <c r="N43" s="38">
        <v>3.69</v>
      </c>
      <c r="O43" s="38">
        <v>3</v>
      </c>
      <c r="P43" s="38">
        <v>3.35</v>
      </c>
      <c r="Q43" s="38">
        <v>3.64</v>
      </c>
      <c r="R43" s="38">
        <v>3.57</v>
      </c>
      <c r="S43" s="38">
        <v>3.14</v>
      </c>
      <c r="T43" s="38">
        <v>3.41</v>
      </c>
      <c r="U43" s="7">
        <f t="shared" si="0"/>
        <v>3</v>
      </c>
      <c r="V43" s="39">
        <f t="shared" si="1"/>
        <v>0.1875</v>
      </c>
    </row>
    <row r="44" spans="1:22" x14ac:dyDescent="0.25">
      <c r="A44" s="43" t="s">
        <v>50</v>
      </c>
      <c r="B44" s="7">
        <v>4</v>
      </c>
      <c r="C44" s="7" t="s">
        <v>6</v>
      </c>
      <c r="D44" s="7" t="s">
        <v>18</v>
      </c>
      <c r="E44" s="38">
        <v>3.69</v>
      </c>
      <c r="F44" s="38">
        <v>3.61</v>
      </c>
      <c r="G44" s="38">
        <v>3.55</v>
      </c>
      <c r="H44" s="38">
        <v>3.81</v>
      </c>
      <c r="I44" s="38">
        <v>4.88</v>
      </c>
      <c r="J44" s="38">
        <v>5</v>
      </c>
      <c r="K44" s="38">
        <v>5.09</v>
      </c>
      <c r="L44" s="38">
        <v>4.24</v>
      </c>
      <c r="M44" s="38">
        <v>3.35</v>
      </c>
      <c r="N44" s="38">
        <v>3.55</v>
      </c>
      <c r="O44" s="38">
        <v>3.7</v>
      </c>
      <c r="P44" s="38">
        <v>3.88</v>
      </c>
      <c r="Q44" s="38">
        <v>3.71</v>
      </c>
      <c r="R44" s="38">
        <v>3.32</v>
      </c>
      <c r="S44" s="38">
        <v>3.32</v>
      </c>
      <c r="T44" s="38">
        <v>3.2</v>
      </c>
      <c r="U44" s="7">
        <f t="shared" si="0"/>
        <v>4</v>
      </c>
      <c r="V44" s="39">
        <f t="shared" si="1"/>
        <v>0.25</v>
      </c>
    </row>
    <row r="45" spans="1:22" x14ac:dyDescent="0.25">
      <c r="A45" s="43" t="s">
        <v>51</v>
      </c>
      <c r="B45" s="7">
        <v>4</v>
      </c>
      <c r="C45" s="7" t="s">
        <v>6</v>
      </c>
      <c r="D45" s="7" t="s">
        <v>2</v>
      </c>
      <c r="E45" s="38">
        <v>3.69</v>
      </c>
      <c r="F45" s="38">
        <v>3.48</v>
      </c>
      <c r="G45" s="38">
        <v>3.43</v>
      </c>
      <c r="H45" s="38">
        <v>3.23</v>
      </c>
      <c r="I45" s="38">
        <v>4.5</v>
      </c>
      <c r="J45" s="38">
        <v>4.76</v>
      </c>
      <c r="K45" s="38">
        <v>4.8499999999999996</v>
      </c>
      <c r="L45" s="38">
        <v>4.57</v>
      </c>
      <c r="M45" s="38">
        <v>3.61</v>
      </c>
      <c r="N45" s="38">
        <v>3.45</v>
      </c>
      <c r="O45" s="38">
        <v>3.8</v>
      </c>
      <c r="P45" s="38">
        <v>3.68</v>
      </c>
      <c r="Q45" s="38">
        <v>3.2</v>
      </c>
      <c r="R45" s="38">
        <v>3.09</v>
      </c>
      <c r="S45" s="38">
        <v>3.71</v>
      </c>
      <c r="T45" s="38">
        <v>3.18</v>
      </c>
      <c r="U45" s="7">
        <f t="shared" si="0"/>
        <v>4</v>
      </c>
      <c r="V45" s="39">
        <f t="shared" si="1"/>
        <v>0.25</v>
      </c>
    </row>
    <row r="46" spans="1:22" x14ac:dyDescent="0.25">
      <c r="A46" s="43" t="s">
        <v>52</v>
      </c>
      <c r="B46" s="7">
        <v>4</v>
      </c>
      <c r="C46" s="7" t="s">
        <v>6</v>
      </c>
      <c r="D46" s="7" t="s">
        <v>12</v>
      </c>
      <c r="E46" s="38">
        <v>3.69</v>
      </c>
      <c r="F46" s="38">
        <v>3.7</v>
      </c>
      <c r="G46" s="38">
        <v>3.48</v>
      </c>
      <c r="H46" s="38">
        <v>3.5</v>
      </c>
      <c r="I46" s="38">
        <v>4.21</v>
      </c>
      <c r="J46" s="38">
        <v>5.6</v>
      </c>
      <c r="K46" s="38">
        <v>4.93</v>
      </c>
      <c r="L46" s="38">
        <v>5.31</v>
      </c>
      <c r="M46" s="38">
        <v>3.26</v>
      </c>
      <c r="N46" s="38">
        <v>3.18</v>
      </c>
      <c r="O46" s="38">
        <v>3.72</v>
      </c>
      <c r="P46" s="38">
        <v>3.4</v>
      </c>
      <c r="Q46" s="38">
        <v>3.34</v>
      </c>
      <c r="R46" s="38">
        <v>3.33</v>
      </c>
      <c r="S46" s="38">
        <v>3.38</v>
      </c>
      <c r="T46" s="38">
        <v>3.46</v>
      </c>
      <c r="U46" s="7">
        <f t="shared" si="0"/>
        <v>4</v>
      </c>
      <c r="V46" s="39">
        <f t="shared" si="1"/>
        <v>0.25</v>
      </c>
    </row>
    <row r="47" spans="1:22" x14ac:dyDescent="0.25">
      <c r="A47" s="43" t="s">
        <v>53</v>
      </c>
      <c r="B47" s="7">
        <v>4</v>
      </c>
      <c r="C47" s="7" t="s">
        <v>9</v>
      </c>
      <c r="D47" s="7" t="s">
        <v>18</v>
      </c>
      <c r="E47" s="38">
        <v>3.69</v>
      </c>
      <c r="F47" s="38">
        <v>2.84</v>
      </c>
      <c r="G47" s="38">
        <v>3.8</v>
      </c>
      <c r="H47" s="38">
        <v>4.5999999999999996</v>
      </c>
      <c r="I47" s="38">
        <v>5.69</v>
      </c>
      <c r="J47" s="38">
        <v>4.24</v>
      </c>
      <c r="K47" s="38">
        <v>4.1500000000000004</v>
      </c>
      <c r="L47" s="38">
        <v>4.87</v>
      </c>
      <c r="M47" s="38">
        <v>4.18</v>
      </c>
      <c r="N47" s="38">
        <v>3.5</v>
      </c>
      <c r="O47" s="38">
        <v>3.83</v>
      </c>
      <c r="P47" s="38">
        <v>3</v>
      </c>
      <c r="Q47" s="38">
        <v>3.88</v>
      </c>
      <c r="R47" s="38">
        <v>3.64</v>
      </c>
      <c r="S47" s="38">
        <v>4.28</v>
      </c>
      <c r="T47" s="38">
        <v>4.8499999999999996</v>
      </c>
      <c r="U47" s="7">
        <f t="shared" si="0"/>
        <v>8</v>
      </c>
      <c r="V47" s="39">
        <f t="shared" si="1"/>
        <v>0.5</v>
      </c>
    </row>
    <row r="48" spans="1:22" x14ac:dyDescent="0.25">
      <c r="A48" s="43" t="s">
        <v>54</v>
      </c>
      <c r="B48" s="7">
        <v>4</v>
      </c>
      <c r="C48" s="7" t="s">
        <v>9</v>
      </c>
      <c r="D48" s="7" t="s">
        <v>7</v>
      </c>
      <c r="E48" s="38">
        <v>3.69</v>
      </c>
      <c r="F48" s="38">
        <v>3.55</v>
      </c>
      <c r="G48" s="38">
        <v>4.01</v>
      </c>
      <c r="H48" s="38">
        <v>3.88</v>
      </c>
      <c r="I48" s="38">
        <v>6.33</v>
      </c>
      <c r="J48" s="38">
        <v>5</v>
      </c>
      <c r="K48" s="38">
        <v>5.18</v>
      </c>
      <c r="L48" s="38">
        <v>5.35</v>
      </c>
      <c r="M48" s="38">
        <v>4.08</v>
      </c>
      <c r="N48" s="38">
        <v>3.13</v>
      </c>
      <c r="O48" s="38">
        <v>4</v>
      </c>
      <c r="P48" s="38">
        <v>4.13</v>
      </c>
      <c r="Q48" s="38">
        <v>3.08</v>
      </c>
      <c r="R48" s="38">
        <v>3.69</v>
      </c>
      <c r="S48" s="38">
        <v>3.7</v>
      </c>
      <c r="T48" s="38">
        <v>4.1900000000000004</v>
      </c>
      <c r="U48" s="7">
        <f t="shared" si="0"/>
        <v>8</v>
      </c>
      <c r="V48" s="39">
        <f t="shared" si="1"/>
        <v>0.5</v>
      </c>
    </row>
    <row r="49" spans="1:22" x14ac:dyDescent="0.25">
      <c r="A49" s="43" t="s">
        <v>55</v>
      </c>
      <c r="B49" s="7">
        <v>4</v>
      </c>
      <c r="C49" s="7" t="s">
        <v>9</v>
      </c>
      <c r="D49" s="7" t="s">
        <v>2</v>
      </c>
      <c r="E49" s="38">
        <v>3.69</v>
      </c>
      <c r="F49" s="38">
        <v>4.03</v>
      </c>
      <c r="G49" s="38">
        <v>3.96</v>
      </c>
      <c r="H49" s="38">
        <v>3.9</v>
      </c>
      <c r="I49" s="38">
        <v>4.99</v>
      </c>
      <c r="J49" s="38">
        <v>4.78</v>
      </c>
      <c r="K49" s="38">
        <v>5.29</v>
      </c>
      <c r="L49" s="38">
        <v>4.9000000000000004</v>
      </c>
      <c r="M49" s="38">
        <v>4.07</v>
      </c>
      <c r="N49" s="38">
        <v>3.63</v>
      </c>
      <c r="O49" s="38">
        <v>3.71</v>
      </c>
      <c r="P49" s="38">
        <v>3.8</v>
      </c>
      <c r="Q49" s="38">
        <v>3.51</v>
      </c>
      <c r="R49" s="38">
        <v>3.82</v>
      </c>
      <c r="S49" s="38">
        <v>3.61</v>
      </c>
      <c r="T49" s="38">
        <v>3.45</v>
      </c>
      <c r="U49" s="7">
        <f t="shared" si="0"/>
        <v>6</v>
      </c>
      <c r="V49" s="39">
        <f t="shared" si="1"/>
        <v>0.375</v>
      </c>
    </row>
    <row r="50" spans="1:22" x14ac:dyDescent="0.25">
      <c r="A50" s="43" t="s">
        <v>56</v>
      </c>
      <c r="B50" s="7">
        <v>5</v>
      </c>
      <c r="C50" s="7" t="s">
        <v>1</v>
      </c>
      <c r="D50" s="7" t="s">
        <v>18</v>
      </c>
      <c r="E50" s="38">
        <v>3.69</v>
      </c>
      <c r="F50" s="38">
        <v>3.2</v>
      </c>
      <c r="G50" s="38">
        <v>4.05</v>
      </c>
      <c r="H50" s="38">
        <v>4.28</v>
      </c>
      <c r="I50" s="38">
        <v>5.28</v>
      </c>
      <c r="J50" s="38">
        <v>4.6100000000000003</v>
      </c>
      <c r="K50" s="38">
        <v>6.29</v>
      </c>
      <c r="L50" s="38">
        <v>5.82</v>
      </c>
      <c r="M50" s="38">
        <v>3.38</v>
      </c>
      <c r="N50" s="38">
        <v>3.67</v>
      </c>
      <c r="O50" s="38">
        <v>3.73</v>
      </c>
      <c r="P50" s="38">
        <v>3</v>
      </c>
      <c r="Q50" s="38">
        <v>4.1100000000000003</v>
      </c>
      <c r="R50" s="38">
        <v>3.52</v>
      </c>
      <c r="S50" s="38">
        <v>3.18</v>
      </c>
      <c r="T50" s="38">
        <v>3.78</v>
      </c>
      <c r="U50" s="7">
        <f t="shared" si="0"/>
        <v>7</v>
      </c>
      <c r="V50" s="39">
        <f t="shared" si="1"/>
        <v>0.4375</v>
      </c>
    </row>
    <row r="51" spans="1:22" x14ac:dyDescent="0.25">
      <c r="A51" s="43" t="s">
        <v>57</v>
      </c>
      <c r="B51" s="7">
        <v>5</v>
      </c>
      <c r="C51" s="7" t="s">
        <v>1</v>
      </c>
      <c r="D51" s="7" t="s">
        <v>18</v>
      </c>
      <c r="E51" s="38">
        <v>3.69</v>
      </c>
      <c r="F51" s="38">
        <v>2.99</v>
      </c>
      <c r="G51" s="38">
        <v>3</v>
      </c>
      <c r="H51" s="38">
        <v>3.45</v>
      </c>
      <c r="I51" s="38">
        <v>4.74</v>
      </c>
      <c r="J51" s="38">
        <v>5.49</v>
      </c>
      <c r="K51" s="38">
        <v>4.24</v>
      </c>
      <c r="L51" s="38">
        <v>4.47</v>
      </c>
      <c r="M51" s="38">
        <v>3.34</v>
      </c>
      <c r="N51" s="38">
        <v>3.6</v>
      </c>
      <c r="O51" s="38">
        <v>3.28</v>
      </c>
      <c r="P51" s="38">
        <v>3.22</v>
      </c>
      <c r="Q51" s="38">
        <v>3</v>
      </c>
      <c r="R51" s="38">
        <v>3.32</v>
      </c>
      <c r="S51" s="38">
        <v>3.65</v>
      </c>
      <c r="T51" s="38">
        <v>2.68</v>
      </c>
      <c r="U51" s="7">
        <f t="shared" si="0"/>
        <v>4</v>
      </c>
      <c r="V51" s="39">
        <f t="shared" si="1"/>
        <v>0.25</v>
      </c>
    </row>
    <row r="52" spans="1:22" x14ac:dyDescent="0.25">
      <c r="A52" s="43" t="s">
        <v>58</v>
      </c>
      <c r="B52" s="7">
        <v>5</v>
      </c>
      <c r="C52" s="7" t="s">
        <v>1</v>
      </c>
      <c r="D52" s="7" t="s">
        <v>12</v>
      </c>
      <c r="E52" s="38">
        <v>3.69</v>
      </c>
      <c r="F52" s="38">
        <v>3.15</v>
      </c>
      <c r="G52" s="38">
        <v>3.6</v>
      </c>
      <c r="H52" s="38">
        <v>3.74</v>
      </c>
      <c r="I52" s="38">
        <v>5.37</v>
      </c>
      <c r="J52" s="38">
        <v>4.84</v>
      </c>
      <c r="K52" s="38">
        <v>5.05</v>
      </c>
      <c r="L52" s="38">
        <v>4.92</v>
      </c>
      <c r="M52" s="38">
        <v>3.9</v>
      </c>
      <c r="N52" s="38">
        <v>3.25</v>
      </c>
      <c r="O52" s="38">
        <v>3.36</v>
      </c>
      <c r="P52" s="38">
        <v>3.4</v>
      </c>
      <c r="Q52" s="38">
        <v>3.5</v>
      </c>
      <c r="R52" s="38">
        <v>3.23</v>
      </c>
      <c r="S52" s="38">
        <v>3.28</v>
      </c>
      <c r="T52" s="38">
        <v>3.2</v>
      </c>
      <c r="U52" s="7">
        <f t="shared" si="0"/>
        <v>4</v>
      </c>
      <c r="V52" s="39">
        <f t="shared" si="1"/>
        <v>0.25</v>
      </c>
    </row>
    <row r="53" spans="1:22" x14ac:dyDescent="0.25">
      <c r="A53" s="43" t="s">
        <v>59</v>
      </c>
      <c r="B53" s="7">
        <v>5</v>
      </c>
      <c r="C53" s="7" t="s">
        <v>4</v>
      </c>
      <c r="D53" s="7" t="s">
        <v>7</v>
      </c>
      <c r="E53" s="38">
        <v>3.69</v>
      </c>
      <c r="F53" s="38">
        <v>3.02</v>
      </c>
      <c r="G53" s="38">
        <v>3.9</v>
      </c>
      <c r="H53" s="38">
        <v>3.44</v>
      </c>
      <c r="I53" s="38">
        <v>5.21</v>
      </c>
      <c r="J53" s="38">
        <v>5.46</v>
      </c>
      <c r="K53" s="38">
        <v>4.67</v>
      </c>
      <c r="L53" s="38">
        <v>4.8499999999999996</v>
      </c>
      <c r="M53" s="38">
        <v>3.54</v>
      </c>
      <c r="N53" s="38">
        <v>3.38</v>
      </c>
      <c r="O53" s="38">
        <v>3.6</v>
      </c>
      <c r="P53" s="38">
        <v>3.17</v>
      </c>
      <c r="Q53" s="38">
        <v>3.8</v>
      </c>
      <c r="R53" s="38">
        <v>3.3</v>
      </c>
      <c r="S53" s="38">
        <v>3.55</v>
      </c>
      <c r="T53" s="38">
        <v>3.62</v>
      </c>
      <c r="U53" s="7">
        <f t="shared" si="0"/>
        <v>4</v>
      </c>
      <c r="V53" s="39">
        <f t="shared" si="1"/>
        <v>0.25</v>
      </c>
    </row>
    <row r="54" spans="1:22" x14ac:dyDescent="0.25">
      <c r="A54" s="43" t="s">
        <v>60</v>
      </c>
      <c r="B54" s="7">
        <v>5</v>
      </c>
      <c r="C54" s="7" t="s">
        <v>4</v>
      </c>
      <c r="D54" s="7" t="s">
        <v>2</v>
      </c>
      <c r="E54" s="38">
        <v>3.69</v>
      </c>
      <c r="F54" s="38">
        <v>3.46</v>
      </c>
      <c r="G54" s="38">
        <v>3.75</v>
      </c>
      <c r="H54" s="38">
        <v>3.67</v>
      </c>
      <c r="I54" s="38">
        <v>5.28</v>
      </c>
      <c r="J54" s="38">
        <v>3.61</v>
      </c>
      <c r="K54" s="38">
        <v>4.13</v>
      </c>
      <c r="L54" s="38">
        <v>5.35</v>
      </c>
      <c r="M54" s="38">
        <v>3.44</v>
      </c>
      <c r="N54" s="38">
        <v>3.54</v>
      </c>
      <c r="O54" s="38">
        <v>3.5</v>
      </c>
      <c r="P54" s="38">
        <v>2.9</v>
      </c>
      <c r="Q54" s="38">
        <v>2</v>
      </c>
      <c r="R54" s="38">
        <v>2.82</v>
      </c>
      <c r="S54" s="38">
        <v>3.13</v>
      </c>
      <c r="T54" s="38">
        <v>3.56</v>
      </c>
      <c r="U54" s="7">
        <f t="shared" si="0"/>
        <v>3</v>
      </c>
      <c r="V54" s="39">
        <f t="shared" si="1"/>
        <v>0.1875</v>
      </c>
    </row>
    <row r="55" spans="1:22" x14ac:dyDescent="0.25">
      <c r="A55" s="43" t="s">
        <v>61</v>
      </c>
      <c r="B55" s="7">
        <v>5</v>
      </c>
      <c r="C55" s="7" t="s">
        <v>4</v>
      </c>
      <c r="D55" s="7" t="s">
        <v>18</v>
      </c>
      <c r="E55" s="38">
        <v>3.69</v>
      </c>
      <c r="F55" s="38">
        <v>3</v>
      </c>
      <c r="G55" s="38">
        <v>3.36</v>
      </c>
      <c r="H55" s="38">
        <v>4.1500000000000004</v>
      </c>
      <c r="I55" s="38">
        <v>4.49</v>
      </c>
      <c r="J55" s="38">
        <v>6.24</v>
      </c>
      <c r="K55" s="38">
        <v>5.0199999999999996</v>
      </c>
      <c r="L55" s="38">
        <v>4.13</v>
      </c>
      <c r="M55" s="38">
        <v>3.47</v>
      </c>
      <c r="N55" s="38">
        <v>4.0599999999999996</v>
      </c>
      <c r="O55" s="38">
        <v>3.42</v>
      </c>
      <c r="P55" s="38">
        <v>3.5</v>
      </c>
      <c r="Q55" s="38">
        <v>4</v>
      </c>
      <c r="R55" s="38">
        <v>3</v>
      </c>
      <c r="S55" s="38">
        <v>4.45</v>
      </c>
      <c r="T55" s="38">
        <v>3.74</v>
      </c>
      <c r="U55" s="7">
        <f t="shared" si="0"/>
        <v>7</v>
      </c>
      <c r="V55" s="39">
        <f t="shared" si="1"/>
        <v>0.4375</v>
      </c>
    </row>
    <row r="56" spans="1:22" x14ac:dyDescent="0.25">
      <c r="A56" s="43" t="s">
        <v>62</v>
      </c>
      <c r="B56" s="7">
        <v>5</v>
      </c>
      <c r="C56" s="7" t="s">
        <v>6</v>
      </c>
      <c r="D56" s="7" t="s">
        <v>2</v>
      </c>
      <c r="E56" s="38">
        <v>3.69</v>
      </c>
      <c r="F56" s="38">
        <v>4.34</v>
      </c>
      <c r="G56" s="38">
        <v>3.9</v>
      </c>
      <c r="H56" s="38">
        <v>3.43</v>
      </c>
      <c r="I56" s="38">
        <v>5.61</v>
      </c>
      <c r="J56" s="38">
        <v>4.45</v>
      </c>
      <c r="K56" s="38">
        <v>5</v>
      </c>
      <c r="L56" s="38">
        <v>5.71</v>
      </c>
      <c r="M56" s="38">
        <v>4.05</v>
      </c>
      <c r="N56" s="38">
        <v>3.96</v>
      </c>
      <c r="O56" s="38">
        <v>3.37</v>
      </c>
      <c r="P56" s="38">
        <v>3.92</v>
      </c>
      <c r="Q56" s="38">
        <v>3.62</v>
      </c>
      <c r="R56" s="38">
        <v>3.9</v>
      </c>
      <c r="S56" s="38">
        <v>4.08</v>
      </c>
      <c r="T56" s="38">
        <v>3.9</v>
      </c>
      <c r="U56" s="7">
        <f t="shared" si="0"/>
        <v>7</v>
      </c>
      <c r="V56" s="39">
        <f t="shared" si="1"/>
        <v>0.4375</v>
      </c>
    </row>
    <row r="57" spans="1:22" x14ac:dyDescent="0.25">
      <c r="A57" s="43" t="s">
        <v>63</v>
      </c>
      <c r="B57" s="7">
        <v>5</v>
      </c>
      <c r="C57" s="7" t="s">
        <v>6</v>
      </c>
      <c r="D57" s="7" t="s">
        <v>18</v>
      </c>
      <c r="E57" s="38">
        <v>3.69</v>
      </c>
      <c r="F57" s="38">
        <v>3.9</v>
      </c>
      <c r="G57" s="38">
        <v>3.73</v>
      </c>
      <c r="H57" s="38">
        <v>4.1399999999999997</v>
      </c>
      <c r="I57" s="38">
        <v>5.25</v>
      </c>
      <c r="J57" s="38">
        <v>5.34</v>
      </c>
      <c r="K57" s="38">
        <v>4.91</v>
      </c>
      <c r="L57" s="38">
        <v>5.68</v>
      </c>
      <c r="M57" s="38">
        <v>3.48</v>
      </c>
      <c r="N57" s="38">
        <v>5.08</v>
      </c>
      <c r="O57" s="38">
        <v>3.9</v>
      </c>
      <c r="P57" s="38">
        <v>3.85</v>
      </c>
      <c r="Q57" s="38">
        <v>3.4</v>
      </c>
      <c r="R57" s="38">
        <v>4.07</v>
      </c>
      <c r="S57" s="38">
        <v>4.4400000000000004</v>
      </c>
      <c r="T57" s="38">
        <v>3.35</v>
      </c>
      <c r="U57" s="7">
        <f t="shared" si="0"/>
        <v>8</v>
      </c>
      <c r="V57" s="39">
        <f t="shared" si="1"/>
        <v>0.5</v>
      </c>
    </row>
    <row r="58" spans="1:22" x14ac:dyDescent="0.25">
      <c r="A58" s="43" t="s">
        <v>64</v>
      </c>
      <c r="B58" s="7">
        <v>5</v>
      </c>
      <c r="C58" s="7" t="s">
        <v>6</v>
      </c>
      <c r="D58" s="7" t="s">
        <v>12</v>
      </c>
      <c r="E58" s="38">
        <v>3.69</v>
      </c>
      <c r="F58" s="38">
        <v>4.18</v>
      </c>
      <c r="G58" s="38">
        <v>4.2300000000000004</v>
      </c>
      <c r="H58" s="38">
        <v>3.44</v>
      </c>
      <c r="I58" s="38">
        <v>5.1100000000000003</v>
      </c>
      <c r="J58" s="38">
        <v>4.84</v>
      </c>
      <c r="K58" s="38">
        <v>5.35</v>
      </c>
      <c r="L58" s="38">
        <v>5.57</v>
      </c>
      <c r="M58" s="38">
        <v>3.62</v>
      </c>
      <c r="N58" s="38">
        <v>4.08</v>
      </c>
      <c r="O58" s="38">
        <v>3.28</v>
      </c>
      <c r="P58" s="38">
        <v>4.05</v>
      </c>
      <c r="Q58" s="38">
        <v>3.75</v>
      </c>
      <c r="R58" s="38">
        <v>2</v>
      </c>
      <c r="S58" s="38">
        <v>3.87</v>
      </c>
      <c r="T58" s="38">
        <v>3.02</v>
      </c>
      <c r="U58" s="7">
        <f t="shared" si="0"/>
        <v>8</v>
      </c>
      <c r="V58" s="39">
        <f t="shared" si="1"/>
        <v>0.5</v>
      </c>
    </row>
    <row r="59" spans="1:22" x14ac:dyDescent="0.25">
      <c r="A59" s="43" t="s">
        <v>65</v>
      </c>
      <c r="B59" s="7">
        <v>5</v>
      </c>
      <c r="C59" s="7" t="s">
        <v>9</v>
      </c>
      <c r="D59" s="7" t="s">
        <v>12</v>
      </c>
      <c r="E59" s="38">
        <v>3.69</v>
      </c>
      <c r="F59" s="38">
        <v>3.72</v>
      </c>
      <c r="G59" s="38">
        <v>3.65</v>
      </c>
      <c r="H59" s="38">
        <v>3.26</v>
      </c>
      <c r="I59" s="38">
        <v>4.97</v>
      </c>
      <c r="J59" s="38">
        <v>6.18</v>
      </c>
      <c r="K59" s="38">
        <v>4.93</v>
      </c>
      <c r="L59" s="38">
        <v>5.41</v>
      </c>
      <c r="M59" s="38">
        <v>4.0199999999999996</v>
      </c>
      <c r="N59" s="38">
        <v>3.57</v>
      </c>
      <c r="O59" s="38">
        <v>3.54</v>
      </c>
      <c r="P59" s="38">
        <v>3.55</v>
      </c>
      <c r="Q59" s="38">
        <v>3.7</v>
      </c>
      <c r="R59" s="38">
        <v>4.05</v>
      </c>
      <c r="S59" s="38">
        <v>3</v>
      </c>
      <c r="T59" s="38">
        <v>2.6</v>
      </c>
      <c r="U59" s="7">
        <f t="shared" si="0"/>
        <v>6</v>
      </c>
      <c r="V59" s="39">
        <f t="shared" si="1"/>
        <v>0.375</v>
      </c>
    </row>
    <row r="60" spans="1:22" x14ac:dyDescent="0.25">
      <c r="A60" s="43" t="s">
        <v>66</v>
      </c>
      <c r="B60" s="7">
        <v>5</v>
      </c>
      <c r="C60" s="7" t="s">
        <v>9</v>
      </c>
      <c r="D60" s="7" t="s">
        <v>7</v>
      </c>
      <c r="E60" s="38">
        <v>3.69</v>
      </c>
      <c r="F60" s="38">
        <v>3.9</v>
      </c>
      <c r="G60" s="38">
        <v>3.66</v>
      </c>
      <c r="H60" s="38">
        <v>3.5</v>
      </c>
      <c r="I60" s="38">
        <v>4.8</v>
      </c>
      <c r="J60" s="38">
        <v>4.5599999999999996</v>
      </c>
      <c r="K60" s="38">
        <v>4.8499999999999996</v>
      </c>
      <c r="L60" s="38">
        <v>5</v>
      </c>
      <c r="M60" s="38">
        <v>3.6</v>
      </c>
      <c r="N60" s="38">
        <v>3.62</v>
      </c>
      <c r="O60" s="38">
        <v>3.76</v>
      </c>
      <c r="P60" s="38">
        <v>4.42</v>
      </c>
      <c r="Q60" s="38">
        <v>4.12</v>
      </c>
      <c r="R60" s="38">
        <v>4</v>
      </c>
      <c r="S60" s="38">
        <v>4</v>
      </c>
      <c r="T60" s="38">
        <v>3.9</v>
      </c>
      <c r="U60" s="7">
        <f t="shared" si="0"/>
        <v>6</v>
      </c>
      <c r="V60" s="39">
        <f t="shared" si="1"/>
        <v>0.375</v>
      </c>
    </row>
    <row r="61" spans="1:22" ht="15.75" thickBot="1" x14ac:dyDescent="0.3">
      <c r="A61" s="44" t="s">
        <v>67</v>
      </c>
      <c r="B61" s="41">
        <v>5</v>
      </c>
      <c r="C61" s="41" t="s">
        <v>9</v>
      </c>
      <c r="D61" s="41" t="s">
        <v>18</v>
      </c>
      <c r="E61" s="40">
        <v>3.69</v>
      </c>
      <c r="F61" s="40">
        <v>3.64</v>
      </c>
      <c r="G61" s="40">
        <v>3.73</v>
      </c>
      <c r="H61" s="40">
        <v>3.58</v>
      </c>
      <c r="I61" s="40">
        <v>4.51</v>
      </c>
      <c r="J61" s="40">
        <v>4.79</v>
      </c>
      <c r="K61" s="40">
        <v>5.03</v>
      </c>
      <c r="L61" s="40">
        <v>4.84</v>
      </c>
      <c r="M61" s="40">
        <v>3.58</v>
      </c>
      <c r="N61" s="40">
        <v>3.62</v>
      </c>
      <c r="O61" s="40">
        <v>3.37</v>
      </c>
      <c r="P61" s="40">
        <v>3.15</v>
      </c>
      <c r="Q61" s="40">
        <v>3.73</v>
      </c>
      <c r="R61" s="40">
        <v>3.32</v>
      </c>
      <c r="S61" s="40">
        <v>4</v>
      </c>
      <c r="T61" s="40">
        <v>3.9</v>
      </c>
      <c r="U61" s="41">
        <f t="shared" si="0"/>
        <v>4</v>
      </c>
      <c r="V61" s="42">
        <f t="shared" si="1"/>
        <v>0.25</v>
      </c>
    </row>
    <row r="65" spans="3:4" x14ac:dyDescent="0.25">
      <c r="C65" s="2"/>
      <c r="D65" s="1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C70" s="1"/>
      <c r="D70" s="1"/>
    </row>
    <row r="71" spans="3:4" x14ac:dyDescent="0.25">
      <c r="C71" s="1"/>
      <c r="D71" s="1"/>
    </row>
  </sheetData>
  <autoFilter ref="A1:V1" xr:uid="{A323AF4B-4E51-47EC-8B2C-90883E664F69}"/>
  <phoneticPr fontId="6" type="noConversion"/>
  <conditionalFormatting sqref="E2:T61">
    <cfRule type="cellIs" dxfId="8" priority="1" operator="between">
      <formula>2</formula>
      <formula>4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B5DE-F5FA-4B50-B21D-521093AA859F}">
  <sheetPr codeName="Sheet2"/>
  <dimension ref="A1:R22"/>
  <sheetViews>
    <sheetView workbookViewId="0">
      <selection activeCell="I29" sqref="I29"/>
    </sheetView>
  </sheetViews>
  <sheetFormatPr defaultRowHeight="15" x14ac:dyDescent="0.25"/>
  <cols>
    <col min="1" max="1" width="16.5703125" bestFit="1" customWidth="1"/>
    <col min="2" max="10" width="13.42578125" bestFit="1" customWidth="1"/>
    <col min="11" max="17" width="14.42578125" bestFit="1" customWidth="1"/>
    <col min="18" max="18" width="26.42578125" bestFit="1" customWidth="1"/>
  </cols>
  <sheetData>
    <row r="1" spans="1:18" x14ac:dyDescent="0.25">
      <c r="A1" s="52" t="s">
        <v>129</v>
      </c>
      <c r="B1" t="s">
        <v>132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  <c r="P1" t="s">
        <v>146</v>
      </c>
      <c r="Q1" t="s">
        <v>147</v>
      </c>
      <c r="R1" t="s">
        <v>131</v>
      </c>
    </row>
    <row r="2" spans="1:18" x14ac:dyDescent="0.25">
      <c r="A2" s="53" t="s">
        <v>1</v>
      </c>
      <c r="B2" s="5">
        <v>3.4566666666666666</v>
      </c>
      <c r="C2" s="5">
        <v>3.4186666666666672</v>
      </c>
      <c r="D2" s="5">
        <v>3.3633333333333342</v>
      </c>
      <c r="E2" s="5">
        <v>3.4446666666666674</v>
      </c>
      <c r="F2" s="5">
        <v>4.7606666666666664</v>
      </c>
      <c r="G2" s="5">
        <v>4.948666666666667</v>
      </c>
      <c r="H2" s="5">
        <v>4.8693333333333335</v>
      </c>
      <c r="I2" s="5">
        <v>4.469333333333334</v>
      </c>
      <c r="J2" s="5">
        <v>3.3486666666666669</v>
      </c>
      <c r="K2" s="5">
        <v>3.416666666666667</v>
      </c>
      <c r="L2" s="5">
        <v>3.6393333333333326</v>
      </c>
      <c r="M2" s="5">
        <v>3.3380000000000001</v>
      </c>
      <c r="N2" s="5">
        <v>3.496</v>
      </c>
      <c r="O2" s="5">
        <v>3.4386666666666668</v>
      </c>
      <c r="P2" s="5">
        <v>3.3439999999999999</v>
      </c>
      <c r="Q2" s="5">
        <v>3.3179999999999996</v>
      </c>
      <c r="R2" s="54">
        <v>62</v>
      </c>
    </row>
    <row r="3" spans="1:18" x14ac:dyDescent="0.25">
      <c r="A3" s="55" t="s">
        <v>12</v>
      </c>
      <c r="B3" s="5">
        <v>2.9466666666666668</v>
      </c>
      <c r="C3" s="5">
        <v>3.4633333333333334</v>
      </c>
      <c r="D3" s="5">
        <v>3.2733333333333334</v>
      </c>
      <c r="E3" s="5">
        <v>3.3733333333333335</v>
      </c>
      <c r="F3" s="5">
        <v>4.71</v>
      </c>
      <c r="G3" s="5">
        <v>4.5100000000000007</v>
      </c>
      <c r="H3" s="5">
        <v>4.7866666666666662</v>
      </c>
      <c r="I3" s="5">
        <v>4.4666666666666668</v>
      </c>
      <c r="J3" s="5">
        <v>3.43</v>
      </c>
      <c r="K3" s="5">
        <v>3.4633333333333334</v>
      </c>
      <c r="L3" s="5">
        <v>3.4899999999999998</v>
      </c>
      <c r="M3" s="5">
        <v>3.24</v>
      </c>
      <c r="N3" s="5">
        <v>3.3633333333333333</v>
      </c>
      <c r="O3" s="5">
        <v>3.4866666666666668</v>
      </c>
      <c r="P3" s="5">
        <v>3.4233333333333333</v>
      </c>
      <c r="Q3" s="5">
        <v>3.2000000000000006</v>
      </c>
      <c r="R3" s="54">
        <v>11</v>
      </c>
    </row>
    <row r="4" spans="1:18" x14ac:dyDescent="0.25">
      <c r="A4" s="55" t="s">
        <v>7</v>
      </c>
      <c r="B4" s="5">
        <v>3.4949999999999997</v>
      </c>
      <c r="C4" s="5">
        <v>3.63</v>
      </c>
      <c r="D4" s="5">
        <v>3.2300000000000004</v>
      </c>
      <c r="E4" s="5">
        <v>2.9775</v>
      </c>
      <c r="F4" s="5">
        <v>4.8324999999999996</v>
      </c>
      <c r="G4" s="5">
        <v>4.8650000000000002</v>
      </c>
      <c r="H4" s="5">
        <v>4.9799999999999995</v>
      </c>
      <c r="I4" s="5">
        <v>4.1474999999999991</v>
      </c>
      <c r="J4" s="5">
        <v>3.3249999999999997</v>
      </c>
      <c r="K4" s="5">
        <v>3.2524999999999999</v>
      </c>
      <c r="L4" s="5">
        <v>3.87</v>
      </c>
      <c r="M4" s="5">
        <v>3.3250000000000002</v>
      </c>
      <c r="N4" s="5">
        <v>3.3874999999999997</v>
      </c>
      <c r="O4" s="5">
        <v>3.375</v>
      </c>
      <c r="P4" s="5">
        <v>3.3225000000000002</v>
      </c>
      <c r="Q4" s="5">
        <v>3.4874999999999998</v>
      </c>
      <c r="R4" s="54">
        <v>15</v>
      </c>
    </row>
    <row r="5" spans="1:18" x14ac:dyDescent="0.25">
      <c r="A5" s="55" t="s">
        <v>18</v>
      </c>
      <c r="B5" s="5">
        <v>3.7474999999999996</v>
      </c>
      <c r="C5" s="5">
        <v>3.2425000000000002</v>
      </c>
      <c r="D5" s="5">
        <v>3.52</v>
      </c>
      <c r="E5" s="5">
        <v>3.8449999999999998</v>
      </c>
      <c r="F5" s="5">
        <v>4.9075000000000006</v>
      </c>
      <c r="G5" s="5">
        <v>4.9824999999999999</v>
      </c>
      <c r="H5" s="5">
        <v>5.375</v>
      </c>
      <c r="I5" s="5">
        <v>5.0149999999999997</v>
      </c>
      <c r="J5" s="5">
        <v>3.4424999999999999</v>
      </c>
      <c r="K5" s="5">
        <v>3.4624999999999999</v>
      </c>
      <c r="L5" s="5">
        <v>3.61</v>
      </c>
      <c r="M5" s="5">
        <v>3.2725</v>
      </c>
      <c r="N5" s="5">
        <v>3.5025000000000004</v>
      </c>
      <c r="O5" s="5">
        <v>3.6225000000000001</v>
      </c>
      <c r="P5" s="5">
        <v>3.4874999999999998</v>
      </c>
      <c r="Q5" s="5">
        <v>3.0774999999999997</v>
      </c>
      <c r="R5" s="54">
        <v>21</v>
      </c>
    </row>
    <row r="6" spans="1:18" x14ac:dyDescent="0.25">
      <c r="A6" s="55" t="s">
        <v>2</v>
      </c>
      <c r="B6" s="5">
        <v>3.5100000000000002</v>
      </c>
      <c r="C6" s="5">
        <v>3.3499999999999996</v>
      </c>
      <c r="D6" s="5">
        <v>3.4074999999999998</v>
      </c>
      <c r="E6" s="5">
        <v>3.5649999999999999</v>
      </c>
      <c r="F6" s="5">
        <v>4.58</v>
      </c>
      <c r="G6" s="5">
        <v>5.3275000000000006</v>
      </c>
      <c r="H6" s="5">
        <v>4.3149999999999995</v>
      </c>
      <c r="I6" s="5">
        <v>4.2475000000000005</v>
      </c>
      <c r="J6" s="5">
        <v>3.2174999999999998</v>
      </c>
      <c r="K6" s="5">
        <v>3.5</v>
      </c>
      <c r="L6" s="5">
        <v>3.5500000000000003</v>
      </c>
      <c r="M6" s="5">
        <v>3.49</v>
      </c>
      <c r="N6" s="5">
        <v>3.6975000000000002</v>
      </c>
      <c r="O6" s="5">
        <v>3.2824999999999998</v>
      </c>
      <c r="P6" s="5">
        <v>3.1624999999999996</v>
      </c>
      <c r="Q6" s="5">
        <v>3.4775</v>
      </c>
      <c r="R6" s="54">
        <v>15</v>
      </c>
    </row>
    <row r="7" spans="1:18" x14ac:dyDescent="0.25">
      <c r="A7" s="53" t="s">
        <v>4</v>
      </c>
      <c r="B7" s="5">
        <v>3.5106666666666664</v>
      </c>
      <c r="C7" s="5">
        <v>3.2666666666666662</v>
      </c>
      <c r="D7" s="5">
        <v>3.5906666666666665</v>
      </c>
      <c r="E7" s="5">
        <v>3.5139999999999998</v>
      </c>
      <c r="F7" s="5">
        <v>4.8506666666666662</v>
      </c>
      <c r="G7" s="5">
        <v>4.889333333333334</v>
      </c>
      <c r="H7" s="5">
        <v>4.8220000000000001</v>
      </c>
      <c r="I7" s="5">
        <v>4.9073333333333329</v>
      </c>
      <c r="J7" s="5">
        <v>3.4826666666666668</v>
      </c>
      <c r="K7" s="5">
        <v>3.4886666666666666</v>
      </c>
      <c r="L7" s="5">
        <v>3.5293333333333337</v>
      </c>
      <c r="M7" s="5">
        <v>3.3033333333333332</v>
      </c>
      <c r="N7" s="5">
        <v>3.4726666666666666</v>
      </c>
      <c r="O7" s="5">
        <v>3.3946666666666663</v>
      </c>
      <c r="P7" s="5">
        <v>3.5926666666666671</v>
      </c>
      <c r="Q7" s="5">
        <v>3.5420000000000003</v>
      </c>
      <c r="R7" s="54">
        <v>60</v>
      </c>
    </row>
    <row r="8" spans="1:18" x14ac:dyDescent="0.25">
      <c r="A8" s="55" t="s">
        <v>12</v>
      </c>
      <c r="B8" s="5">
        <v>3.3925000000000001</v>
      </c>
      <c r="C8" s="5">
        <v>3.08</v>
      </c>
      <c r="D8" s="5">
        <v>3.6174999999999997</v>
      </c>
      <c r="E8" s="5">
        <v>3.5549999999999997</v>
      </c>
      <c r="F8" s="5">
        <v>4.6274999999999995</v>
      </c>
      <c r="G8" s="5">
        <v>4.84</v>
      </c>
      <c r="H8" s="5">
        <v>4.4675000000000002</v>
      </c>
      <c r="I8" s="5">
        <v>4.5974999999999993</v>
      </c>
      <c r="J8" s="5">
        <v>3.5349999999999997</v>
      </c>
      <c r="K8" s="5">
        <v>3.52</v>
      </c>
      <c r="L8" s="5">
        <v>3.3574999999999999</v>
      </c>
      <c r="M8" s="5">
        <v>3.0425</v>
      </c>
      <c r="N8" s="5">
        <v>3.47</v>
      </c>
      <c r="O8" s="5">
        <v>3.4649999999999999</v>
      </c>
      <c r="P8" s="5">
        <v>3.3125</v>
      </c>
      <c r="Q8" s="5">
        <v>3.39</v>
      </c>
      <c r="R8" s="54">
        <v>15</v>
      </c>
    </row>
    <row r="9" spans="1:18" x14ac:dyDescent="0.25">
      <c r="A9" s="55" t="s">
        <v>7</v>
      </c>
      <c r="B9" s="5">
        <v>3.6599999999999997</v>
      </c>
      <c r="C9" s="5">
        <v>3.4249999999999998</v>
      </c>
      <c r="D9" s="5">
        <v>3.4950000000000001</v>
      </c>
      <c r="E9" s="5">
        <v>3.3249999999999997</v>
      </c>
      <c r="F9" s="5">
        <v>4.665</v>
      </c>
      <c r="G9" s="5">
        <v>5.3650000000000002</v>
      </c>
      <c r="H9" s="5">
        <v>4.7025000000000006</v>
      </c>
      <c r="I9" s="5">
        <v>4.7575000000000003</v>
      </c>
      <c r="J9" s="5">
        <v>3.415</v>
      </c>
      <c r="K9" s="5">
        <v>3.2924999999999995</v>
      </c>
      <c r="L9" s="5">
        <v>3.75</v>
      </c>
      <c r="M9" s="5">
        <v>3.3875000000000002</v>
      </c>
      <c r="N9" s="5">
        <v>3.4174999999999995</v>
      </c>
      <c r="O9" s="5">
        <v>3.3925000000000001</v>
      </c>
      <c r="P9" s="5">
        <v>3.7225000000000001</v>
      </c>
      <c r="Q9" s="5">
        <v>3.5300000000000002</v>
      </c>
      <c r="R9" s="54">
        <v>14</v>
      </c>
    </row>
    <row r="10" spans="1:18" x14ac:dyDescent="0.25">
      <c r="A10" s="55" t="s">
        <v>18</v>
      </c>
      <c r="B10" s="5">
        <v>3.69</v>
      </c>
      <c r="C10" s="5">
        <v>3.375</v>
      </c>
      <c r="D10" s="5">
        <v>3.7450000000000001</v>
      </c>
      <c r="E10" s="5">
        <v>3.89</v>
      </c>
      <c r="F10" s="5">
        <v>5.1950000000000003</v>
      </c>
      <c r="G10" s="5">
        <v>6.0350000000000001</v>
      </c>
      <c r="H10" s="5">
        <v>5.75</v>
      </c>
      <c r="I10" s="5">
        <v>5.3149999999999995</v>
      </c>
      <c r="J10" s="5">
        <v>3.7250000000000001</v>
      </c>
      <c r="K10" s="5">
        <v>3.5549999999999997</v>
      </c>
      <c r="L10" s="5">
        <v>3.21</v>
      </c>
      <c r="M10" s="5">
        <v>3.625</v>
      </c>
      <c r="N10" s="5">
        <v>4.09</v>
      </c>
      <c r="O10" s="5">
        <v>3.3049999999999997</v>
      </c>
      <c r="P10" s="5">
        <v>4.05</v>
      </c>
      <c r="Q10" s="5">
        <v>3.9850000000000003</v>
      </c>
      <c r="R10" s="54">
        <v>14</v>
      </c>
    </row>
    <row r="11" spans="1:18" x14ac:dyDescent="0.25">
      <c r="A11" s="55" t="s">
        <v>2</v>
      </c>
      <c r="B11" s="5">
        <v>3.4140000000000001</v>
      </c>
      <c r="C11" s="5">
        <v>3.246</v>
      </c>
      <c r="D11" s="5">
        <v>3.5840000000000005</v>
      </c>
      <c r="E11" s="5">
        <v>3.4820000000000002</v>
      </c>
      <c r="F11" s="5">
        <v>5.04</v>
      </c>
      <c r="G11" s="5">
        <v>4.09</v>
      </c>
      <c r="H11" s="5">
        <v>4.83</v>
      </c>
      <c r="I11" s="5">
        <v>5.1120000000000001</v>
      </c>
      <c r="J11" s="5">
        <v>3.3980000000000006</v>
      </c>
      <c r="K11" s="5">
        <v>3.5940000000000003</v>
      </c>
      <c r="L11" s="5">
        <v>3.6179999999999999</v>
      </c>
      <c r="M11" s="5">
        <v>3.3159999999999998</v>
      </c>
      <c r="N11" s="5">
        <v>3.2719999999999998</v>
      </c>
      <c r="O11" s="5">
        <v>3.3759999999999999</v>
      </c>
      <c r="P11" s="5">
        <v>3.5300000000000002</v>
      </c>
      <c r="Q11" s="5">
        <v>3.496</v>
      </c>
      <c r="R11" s="54">
        <v>17</v>
      </c>
    </row>
    <row r="12" spans="1:18" x14ac:dyDescent="0.25">
      <c r="A12" s="53" t="s">
        <v>6</v>
      </c>
      <c r="B12" s="5">
        <v>3.6633333333333327</v>
      </c>
      <c r="C12" s="5">
        <v>3.677333333333332</v>
      </c>
      <c r="D12" s="5">
        <v>3.5253333333333332</v>
      </c>
      <c r="E12" s="5">
        <v>3.6686666666666663</v>
      </c>
      <c r="F12" s="5">
        <v>4.7753333333333332</v>
      </c>
      <c r="G12" s="5">
        <v>4.6933333333333334</v>
      </c>
      <c r="H12" s="5">
        <v>4.8593333333333328</v>
      </c>
      <c r="I12" s="5">
        <v>4.8293333333333335</v>
      </c>
      <c r="J12" s="5">
        <v>3.5213333333333332</v>
      </c>
      <c r="K12" s="5">
        <v>3.8239999999999998</v>
      </c>
      <c r="L12" s="5">
        <v>3.7113333333333332</v>
      </c>
      <c r="M12" s="5">
        <v>3.7153333333333332</v>
      </c>
      <c r="N12" s="5">
        <v>3.5680000000000001</v>
      </c>
      <c r="O12" s="5">
        <v>3.5806666666666667</v>
      </c>
      <c r="P12" s="5">
        <v>3.6466666666666661</v>
      </c>
      <c r="Q12" s="5">
        <v>3.5733333333333333</v>
      </c>
      <c r="R12" s="54">
        <v>75</v>
      </c>
    </row>
    <row r="13" spans="1:18" x14ac:dyDescent="0.25">
      <c r="A13" s="55" t="s">
        <v>12</v>
      </c>
      <c r="B13" s="5">
        <v>3.5799999999999996</v>
      </c>
      <c r="C13" s="5">
        <v>3.7199999999999998</v>
      </c>
      <c r="D13" s="5">
        <v>3.8625000000000003</v>
      </c>
      <c r="E13" s="5">
        <v>3.6574999999999998</v>
      </c>
      <c r="F13" s="5">
        <v>4.58</v>
      </c>
      <c r="G13" s="5">
        <v>4.7275</v>
      </c>
      <c r="H13" s="5">
        <v>4.6824999999999992</v>
      </c>
      <c r="I13" s="5">
        <v>4.54</v>
      </c>
      <c r="J13" s="5">
        <v>3.4450000000000003</v>
      </c>
      <c r="K13" s="5">
        <v>3.6225000000000001</v>
      </c>
      <c r="L13" s="5">
        <v>3.7250000000000001</v>
      </c>
      <c r="M13" s="5">
        <v>3.5824999999999996</v>
      </c>
      <c r="N13" s="5">
        <v>3.62</v>
      </c>
      <c r="O13" s="5">
        <v>3.17</v>
      </c>
      <c r="P13" s="5">
        <v>3.5449999999999999</v>
      </c>
      <c r="Q13" s="5">
        <v>3.42</v>
      </c>
      <c r="R13" s="54">
        <v>18</v>
      </c>
    </row>
    <row r="14" spans="1:18" x14ac:dyDescent="0.25">
      <c r="A14" s="55" t="s">
        <v>7</v>
      </c>
      <c r="B14" s="5">
        <v>3.78</v>
      </c>
      <c r="C14" s="5">
        <v>3.4766666666666666</v>
      </c>
      <c r="D14" s="5">
        <v>3.6233333333333331</v>
      </c>
      <c r="E14" s="5">
        <v>3.6533333333333338</v>
      </c>
      <c r="F14" s="5">
        <v>4.6033333333333335</v>
      </c>
      <c r="G14" s="5">
        <v>4.5166666666666666</v>
      </c>
      <c r="H14" s="5">
        <v>4.8900000000000006</v>
      </c>
      <c r="I14" s="5">
        <v>4.666666666666667</v>
      </c>
      <c r="J14" s="5">
        <v>3.4299999999999997</v>
      </c>
      <c r="K14" s="5">
        <v>3.5966666666666671</v>
      </c>
      <c r="L14" s="5">
        <v>3.3333333333333335</v>
      </c>
      <c r="M14" s="5">
        <v>3.4666666666666663</v>
      </c>
      <c r="N14" s="5">
        <v>3.5166666666666662</v>
      </c>
      <c r="O14" s="5">
        <v>3.6166666666666667</v>
      </c>
      <c r="P14" s="5">
        <v>3.3433333333333333</v>
      </c>
      <c r="Q14" s="5">
        <v>3.6333333333333333</v>
      </c>
      <c r="R14" s="54">
        <v>11</v>
      </c>
    </row>
    <row r="15" spans="1:18" x14ac:dyDescent="0.25">
      <c r="A15" s="55" t="s">
        <v>18</v>
      </c>
      <c r="B15" s="5">
        <v>3.7439999999999998</v>
      </c>
      <c r="C15" s="5">
        <v>3.7059999999999995</v>
      </c>
      <c r="D15" s="5">
        <v>3.2479999999999998</v>
      </c>
      <c r="E15" s="5">
        <v>3.81</v>
      </c>
      <c r="F15" s="5">
        <v>5.08</v>
      </c>
      <c r="G15" s="5">
        <v>4.5960000000000001</v>
      </c>
      <c r="H15" s="5">
        <v>5.032</v>
      </c>
      <c r="I15" s="5">
        <v>5.18</v>
      </c>
      <c r="J15" s="5">
        <v>3.4799999999999995</v>
      </c>
      <c r="K15" s="5">
        <v>4.1379999999999999</v>
      </c>
      <c r="L15" s="5">
        <v>3.9139999999999993</v>
      </c>
      <c r="M15" s="5">
        <v>3.9160000000000004</v>
      </c>
      <c r="N15" s="5">
        <v>3.6799999999999997</v>
      </c>
      <c r="O15" s="5">
        <v>3.8579999999999997</v>
      </c>
      <c r="P15" s="5">
        <v>3.8740000000000001</v>
      </c>
      <c r="Q15" s="5">
        <v>3.6300000000000003</v>
      </c>
      <c r="R15" s="54">
        <v>31</v>
      </c>
    </row>
    <row r="16" spans="1:18" x14ac:dyDescent="0.25">
      <c r="A16" s="55" t="s">
        <v>2</v>
      </c>
      <c r="B16" s="5">
        <v>3.5233333333333334</v>
      </c>
      <c r="C16" s="5">
        <v>3.7733333333333334</v>
      </c>
      <c r="D16" s="5">
        <v>3.44</v>
      </c>
      <c r="E16" s="5">
        <v>3.4633333333333334</v>
      </c>
      <c r="F16" s="5">
        <v>4.7</v>
      </c>
      <c r="G16" s="5">
        <v>4.9866666666666672</v>
      </c>
      <c r="H16" s="5">
        <v>4.7766666666666664</v>
      </c>
      <c r="I16" s="5">
        <v>4.793333333333333</v>
      </c>
      <c r="J16" s="5">
        <v>3.7833333333333332</v>
      </c>
      <c r="K16" s="5">
        <v>3.7966666666666669</v>
      </c>
      <c r="L16" s="5">
        <v>3.7333333333333329</v>
      </c>
      <c r="M16" s="5">
        <v>3.8066666666666666</v>
      </c>
      <c r="N16" s="5">
        <v>3.3633333333333333</v>
      </c>
      <c r="O16" s="5">
        <v>3.6300000000000003</v>
      </c>
      <c r="P16" s="5">
        <v>3.706666666666667</v>
      </c>
      <c r="Q16" s="5">
        <v>3.6233333333333335</v>
      </c>
      <c r="R16" s="54">
        <v>15</v>
      </c>
    </row>
    <row r="17" spans="1:18" x14ac:dyDescent="0.25">
      <c r="A17" s="53" t="s">
        <v>9</v>
      </c>
      <c r="B17" s="5">
        <v>3.8099999999999996</v>
      </c>
      <c r="C17" s="5">
        <v>3.7526666666666668</v>
      </c>
      <c r="D17" s="5">
        <v>3.6453333333333324</v>
      </c>
      <c r="E17" s="5">
        <v>3.8446666666666665</v>
      </c>
      <c r="F17" s="5">
        <v>5.094666666666666</v>
      </c>
      <c r="G17" s="5">
        <v>4.8226666666666667</v>
      </c>
      <c r="H17" s="5">
        <v>5.0060000000000002</v>
      </c>
      <c r="I17" s="5">
        <v>4.8573333333333331</v>
      </c>
      <c r="J17" s="5">
        <v>3.7379999999999995</v>
      </c>
      <c r="K17" s="5">
        <v>3.63</v>
      </c>
      <c r="L17" s="5">
        <v>3.64</v>
      </c>
      <c r="M17" s="5">
        <v>3.6206666666666658</v>
      </c>
      <c r="N17" s="5">
        <v>3.6586666666666665</v>
      </c>
      <c r="O17" s="5">
        <v>3.7633333333333336</v>
      </c>
      <c r="P17" s="5">
        <v>3.674666666666667</v>
      </c>
      <c r="Q17" s="5">
        <v>3.7246666666666668</v>
      </c>
      <c r="R17" s="54">
        <v>91</v>
      </c>
    </row>
    <row r="18" spans="1:18" x14ac:dyDescent="0.25">
      <c r="A18" s="55" t="s">
        <v>12</v>
      </c>
      <c r="B18" s="5">
        <v>3.8324999999999996</v>
      </c>
      <c r="C18" s="5">
        <v>3.7100000000000004</v>
      </c>
      <c r="D18" s="5">
        <v>3.6850000000000001</v>
      </c>
      <c r="E18" s="5">
        <v>3.5425</v>
      </c>
      <c r="F18" s="5">
        <v>4.7824999999999998</v>
      </c>
      <c r="G18" s="5">
        <v>4.7</v>
      </c>
      <c r="H18" s="5">
        <v>5.1325000000000003</v>
      </c>
      <c r="I18" s="5">
        <v>5.0750000000000002</v>
      </c>
      <c r="J18" s="5">
        <v>3.63</v>
      </c>
      <c r="K18" s="5">
        <v>3.7124999999999999</v>
      </c>
      <c r="L18" s="5">
        <v>3.2925000000000004</v>
      </c>
      <c r="M18" s="5">
        <v>3.6775000000000002</v>
      </c>
      <c r="N18" s="5">
        <v>3.6399999999999997</v>
      </c>
      <c r="O18" s="5">
        <v>3.63</v>
      </c>
      <c r="P18" s="5">
        <v>3.6175000000000002</v>
      </c>
      <c r="Q18" s="5">
        <v>3.51</v>
      </c>
      <c r="R18" s="54">
        <v>19</v>
      </c>
    </row>
    <row r="19" spans="1:18" x14ac:dyDescent="0.25">
      <c r="A19" s="55" t="s">
        <v>7</v>
      </c>
      <c r="B19" s="5">
        <v>3.8874999999999997</v>
      </c>
      <c r="C19" s="5">
        <v>3.64</v>
      </c>
      <c r="D19" s="5">
        <v>3.8875000000000002</v>
      </c>
      <c r="E19" s="5">
        <v>3.8250000000000002</v>
      </c>
      <c r="F19" s="5">
        <v>5.9874999999999998</v>
      </c>
      <c r="G19" s="5">
        <v>4.7574999999999994</v>
      </c>
      <c r="H19" s="5">
        <v>4.9525000000000006</v>
      </c>
      <c r="I19" s="5">
        <v>4.9574999999999996</v>
      </c>
      <c r="J19" s="5">
        <v>3.9499999999999997</v>
      </c>
      <c r="K19" s="5">
        <v>3.6775000000000002</v>
      </c>
      <c r="L19" s="5">
        <v>3.895</v>
      </c>
      <c r="M19" s="5">
        <v>3.8374999999999999</v>
      </c>
      <c r="N19" s="5">
        <v>3.67</v>
      </c>
      <c r="O19" s="5">
        <v>3.85</v>
      </c>
      <c r="P19" s="5">
        <v>3.8574999999999999</v>
      </c>
      <c r="Q19" s="5">
        <v>3.8450000000000002</v>
      </c>
      <c r="R19" s="54">
        <v>31</v>
      </c>
    </row>
    <row r="20" spans="1:18" x14ac:dyDescent="0.25">
      <c r="A20" s="55" t="s">
        <v>18</v>
      </c>
      <c r="B20" s="5">
        <v>3.7174999999999998</v>
      </c>
      <c r="C20" s="5">
        <v>3.7275</v>
      </c>
      <c r="D20" s="5">
        <v>3.2949999999999999</v>
      </c>
      <c r="E20" s="5">
        <v>4.2699999999999996</v>
      </c>
      <c r="F20" s="5">
        <v>4.6899999999999995</v>
      </c>
      <c r="G20" s="5">
        <v>4.6524999999999999</v>
      </c>
      <c r="H20" s="5">
        <v>4.7725</v>
      </c>
      <c r="I20" s="5">
        <v>4.8674999999999997</v>
      </c>
      <c r="J20" s="5">
        <v>3.7174999999999998</v>
      </c>
      <c r="K20" s="5">
        <v>3.5674999999999999</v>
      </c>
      <c r="L20" s="5">
        <v>3.7700000000000005</v>
      </c>
      <c r="M20" s="5">
        <v>3.2524999999999999</v>
      </c>
      <c r="N20" s="5">
        <v>3.7025000000000001</v>
      </c>
      <c r="O20" s="5">
        <v>3.7125000000000004</v>
      </c>
      <c r="P20" s="5">
        <v>3.6900000000000004</v>
      </c>
      <c r="Q20" s="5">
        <v>4.1449999999999996</v>
      </c>
      <c r="R20" s="54">
        <v>25</v>
      </c>
    </row>
    <row r="21" spans="1:18" x14ac:dyDescent="0.25">
      <c r="A21" s="55" t="s">
        <v>2</v>
      </c>
      <c r="B21" s="5">
        <v>3.7999999999999994</v>
      </c>
      <c r="C21" s="5">
        <v>3.9933333333333336</v>
      </c>
      <c r="D21" s="5">
        <v>3.7366666666666668</v>
      </c>
      <c r="E21" s="5">
        <v>3.7066666666666666</v>
      </c>
      <c r="F21" s="5">
        <v>4.8600000000000003</v>
      </c>
      <c r="G21" s="5">
        <v>5.3000000000000007</v>
      </c>
      <c r="H21" s="5">
        <v>5.22</v>
      </c>
      <c r="I21" s="5">
        <v>4.42</v>
      </c>
      <c r="J21" s="5">
        <v>3.6266666666666669</v>
      </c>
      <c r="K21" s="5">
        <v>3.5400000000000005</v>
      </c>
      <c r="L21" s="5">
        <v>3.59</v>
      </c>
      <c r="M21" s="5">
        <v>3.7466666666666661</v>
      </c>
      <c r="N21" s="5">
        <v>3.61</v>
      </c>
      <c r="O21" s="5">
        <v>3.8933333333333331</v>
      </c>
      <c r="P21" s="5">
        <v>3.4866666666666664</v>
      </c>
      <c r="Q21" s="5">
        <v>3.2900000000000005</v>
      </c>
      <c r="R21" s="54">
        <v>16</v>
      </c>
    </row>
    <row r="22" spans="1:18" x14ac:dyDescent="0.25">
      <c r="A22" s="53" t="s">
        <v>130</v>
      </c>
      <c r="B22" s="5">
        <v>3.6101666666666667</v>
      </c>
      <c r="C22" s="5">
        <v>3.5288333333333335</v>
      </c>
      <c r="D22" s="5">
        <v>3.5311666666666683</v>
      </c>
      <c r="E22" s="5">
        <v>3.6179999999999994</v>
      </c>
      <c r="F22" s="5">
        <v>4.8703333333333338</v>
      </c>
      <c r="G22" s="5">
        <v>4.8385000000000007</v>
      </c>
      <c r="H22" s="5">
        <v>4.8891666666666671</v>
      </c>
      <c r="I22" s="5">
        <v>4.7658333333333323</v>
      </c>
      <c r="J22" s="5">
        <v>3.5226666666666677</v>
      </c>
      <c r="K22" s="5">
        <v>3.5898333333333334</v>
      </c>
      <c r="L22" s="5">
        <v>3.63</v>
      </c>
      <c r="M22" s="5">
        <v>3.4943333333333331</v>
      </c>
      <c r="N22" s="5">
        <v>3.5488333333333326</v>
      </c>
      <c r="O22" s="5">
        <v>3.5443333333333329</v>
      </c>
      <c r="P22" s="5">
        <v>3.5645000000000016</v>
      </c>
      <c r="Q22" s="5">
        <v>3.5394999999999999</v>
      </c>
      <c r="R22" s="54">
        <v>288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35610-9DDB-493F-9EBF-7937C3E00799}">
  <sheetPr codeName="Sheet4"/>
  <dimension ref="A1:BL260"/>
  <sheetViews>
    <sheetView topLeftCell="A7" zoomScale="83" zoomScaleNormal="115" workbookViewId="0">
      <selection activeCell="P22" sqref="P22"/>
    </sheetView>
  </sheetViews>
  <sheetFormatPr defaultRowHeight="15" x14ac:dyDescent="0.25"/>
  <cols>
    <col min="7" max="7" width="19" bestFit="1" customWidth="1"/>
    <col min="8" max="8" width="7.28515625" bestFit="1" customWidth="1"/>
    <col min="9" max="9" width="18" bestFit="1" customWidth="1"/>
    <col min="10" max="10" width="8.5703125" bestFit="1" customWidth="1"/>
    <col min="11" max="11" width="18" bestFit="1" customWidth="1"/>
    <col min="12" max="12" width="8.28515625" bestFit="1" customWidth="1"/>
    <col min="13" max="13" width="18" bestFit="1" customWidth="1"/>
    <col min="14" max="14" width="7.28515625" bestFit="1" customWidth="1"/>
    <col min="15" max="15" width="11.5703125" customWidth="1"/>
    <col min="16" max="16" width="24.140625" bestFit="1" customWidth="1"/>
    <col min="17" max="17" width="21.5703125" bestFit="1" customWidth="1"/>
  </cols>
  <sheetData>
    <row r="1" spans="1:64" ht="15.75" thickBot="1" x14ac:dyDescent="0.3">
      <c r="A1" s="74" t="s">
        <v>95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 t="s">
        <v>96</v>
      </c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 t="s">
        <v>97</v>
      </c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 t="s">
        <v>98</v>
      </c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6"/>
    </row>
    <row r="2" spans="1:64" x14ac:dyDescent="0.25">
      <c r="A2" s="12" t="s">
        <v>72</v>
      </c>
      <c r="B2" s="12" t="s">
        <v>73</v>
      </c>
      <c r="C2" s="12" t="s">
        <v>74</v>
      </c>
      <c r="D2" s="12" t="s">
        <v>75</v>
      </c>
      <c r="E2" s="12" t="s">
        <v>76</v>
      </c>
      <c r="F2" s="12" t="s">
        <v>77</v>
      </c>
      <c r="G2" s="12" t="s">
        <v>78</v>
      </c>
      <c r="H2" s="12" t="s">
        <v>79</v>
      </c>
      <c r="I2" s="12" t="s">
        <v>80</v>
      </c>
      <c r="J2" s="12" t="s">
        <v>81</v>
      </c>
      <c r="K2" s="12" t="s">
        <v>82</v>
      </c>
      <c r="L2" s="12" t="s">
        <v>83</v>
      </c>
      <c r="M2" s="12" t="s">
        <v>84</v>
      </c>
      <c r="N2" s="12" t="s">
        <v>85</v>
      </c>
      <c r="O2" s="12" t="s">
        <v>86</v>
      </c>
      <c r="P2" s="12" t="s">
        <v>87</v>
      </c>
      <c r="Q2" s="12" t="s">
        <v>72</v>
      </c>
      <c r="R2" s="12" t="s">
        <v>73</v>
      </c>
      <c r="S2" s="12" t="s">
        <v>74</v>
      </c>
      <c r="T2" s="12" t="s">
        <v>75</v>
      </c>
      <c r="U2" s="12" t="s">
        <v>76</v>
      </c>
      <c r="V2" s="12" t="s">
        <v>77</v>
      </c>
      <c r="W2" s="12" t="s">
        <v>78</v>
      </c>
      <c r="X2" s="12" t="s">
        <v>79</v>
      </c>
      <c r="Y2" s="12" t="s">
        <v>80</v>
      </c>
      <c r="Z2" s="12" t="s">
        <v>81</v>
      </c>
      <c r="AA2" s="12" t="s">
        <v>82</v>
      </c>
      <c r="AB2" s="12" t="s">
        <v>83</v>
      </c>
      <c r="AC2" s="12" t="s">
        <v>84</v>
      </c>
      <c r="AD2" s="12" t="s">
        <v>85</v>
      </c>
      <c r="AE2" s="12" t="s">
        <v>86</v>
      </c>
      <c r="AF2" s="12" t="s">
        <v>87</v>
      </c>
      <c r="AG2" s="12" t="s">
        <v>72</v>
      </c>
      <c r="AH2" s="12" t="s">
        <v>73</v>
      </c>
      <c r="AI2" s="12" t="s">
        <v>74</v>
      </c>
      <c r="AJ2" s="12" t="s">
        <v>75</v>
      </c>
      <c r="AK2" s="12" t="s">
        <v>76</v>
      </c>
      <c r="AL2" s="12" t="s">
        <v>77</v>
      </c>
      <c r="AM2" s="12" t="s">
        <v>78</v>
      </c>
      <c r="AN2" s="12" t="s">
        <v>79</v>
      </c>
      <c r="AO2" s="12" t="s">
        <v>80</v>
      </c>
      <c r="AP2" s="12" t="s">
        <v>81</v>
      </c>
      <c r="AQ2" s="12" t="s">
        <v>82</v>
      </c>
      <c r="AR2" s="12" t="s">
        <v>83</v>
      </c>
      <c r="AS2" s="12" t="s">
        <v>84</v>
      </c>
      <c r="AT2" s="12" t="s">
        <v>85</v>
      </c>
      <c r="AU2" s="12" t="s">
        <v>86</v>
      </c>
      <c r="AV2" s="12" t="s">
        <v>87</v>
      </c>
      <c r="AW2" s="12" t="s">
        <v>72</v>
      </c>
      <c r="AX2" s="12" t="s">
        <v>73</v>
      </c>
      <c r="AY2" s="12" t="s">
        <v>74</v>
      </c>
      <c r="AZ2" s="12" t="s">
        <v>75</v>
      </c>
      <c r="BA2" s="12" t="s">
        <v>76</v>
      </c>
      <c r="BB2" s="12" t="s">
        <v>77</v>
      </c>
      <c r="BC2" s="12" t="s">
        <v>78</v>
      </c>
      <c r="BD2" s="12" t="s">
        <v>79</v>
      </c>
      <c r="BE2" s="12" t="s">
        <v>80</v>
      </c>
      <c r="BF2" s="12" t="s">
        <v>81</v>
      </c>
      <c r="BG2" s="12" t="s">
        <v>82</v>
      </c>
      <c r="BH2" s="12" t="s">
        <v>83</v>
      </c>
      <c r="BI2" s="12" t="s">
        <v>84</v>
      </c>
      <c r="BJ2" s="12" t="s">
        <v>85</v>
      </c>
      <c r="BK2" s="12" t="s">
        <v>86</v>
      </c>
      <c r="BL2" s="12" t="s">
        <v>87</v>
      </c>
    </row>
    <row r="3" spans="1:64" x14ac:dyDescent="0.25">
      <c r="A3" s="10">
        <v>2</v>
      </c>
      <c r="B3" s="10">
        <v>3.34</v>
      </c>
      <c r="C3" s="10">
        <v>2.91</v>
      </c>
      <c r="D3" s="10">
        <v>3.07</v>
      </c>
      <c r="E3" s="10">
        <v>4.3099999999999996</v>
      </c>
      <c r="F3" s="10">
        <v>4.45</v>
      </c>
      <c r="G3" s="10">
        <v>4.67</v>
      </c>
      <c r="H3" s="10">
        <v>3.82</v>
      </c>
      <c r="I3" s="10">
        <v>3.1</v>
      </c>
      <c r="J3" s="10">
        <v>3.75</v>
      </c>
      <c r="K3" s="10">
        <v>3.21</v>
      </c>
      <c r="L3" s="10">
        <v>3.17</v>
      </c>
      <c r="M3" s="10">
        <v>3.19</v>
      </c>
      <c r="N3" s="10">
        <v>3.33</v>
      </c>
      <c r="O3" s="10">
        <v>3.64</v>
      </c>
      <c r="P3" s="10">
        <v>3.37</v>
      </c>
      <c r="Q3" s="10">
        <v>3.9</v>
      </c>
      <c r="R3" s="10">
        <v>3.71</v>
      </c>
      <c r="S3" s="10">
        <v>3.4</v>
      </c>
      <c r="T3" s="10">
        <v>3.81</v>
      </c>
      <c r="U3" s="10">
        <v>4.2699999999999996</v>
      </c>
      <c r="V3" s="10">
        <v>4.7699999999999996</v>
      </c>
      <c r="W3" s="10">
        <v>5.6</v>
      </c>
      <c r="X3" s="10">
        <v>4.34</v>
      </c>
      <c r="Y3" s="10">
        <v>3.36</v>
      </c>
      <c r="Z3" s="10">
        <v>3.22</v>
      </c>
      <c r="AA3" s="10">
        <v>4.0199999999999996</v>
      </c>
      <c r="AB3" s="10">
        <v>3.61</v>
      </c>
      <c r="AC3" s="10">
        <v>3.31</v>
      </c>
      <c r="AD3" s="10">
        <v>3.44</v>
      </c>
      <c r="AE3" s="10">
        <v>2.94</v>
      </c>
      <c r="AF3" s="10">
        <v>3.81</v>
      </c>
      <c r="AG3" s="10">
        <v>3.65</v>
      </c>
      <c r="AH3" s="10">
        <v>3.65</v>
      </c>
      <c r="AI3" s="10">
        <v>2</v>
      </c>
      <c r="AJ3" s="10">
        <v>3.73</v>
      </c>
      <c r="AK3" s="10">
        <v>5.91</v>
      </c>
      <c r="AL3" s="10">
        <v>3.93</v>
      </c>
      <c r="AM3" s="10">
        <v>4.6399999999999997</v>
      </c>
      <c r="AN3" s="10">
        <v>5.59</v>
      </c>
      <c r="AO3" s="10">
        <v>3.96</v>
      </c>
      <c r="AP3" s="10">
        <v>4.24</v>
      </c>
      <c r="AQ3" s="10">
        <v>4.0999999999999996</v>
      </c>
      <c r="AR3" s="10">
        <v>4.4000000000000004</v>
      </c>
      <c r="AS3" s="10">
        <v>3.72</v>
      </c>
      <c r="AT3" s="10">
        <v>4.32</v>
      </c>
      <c r="AU3" s="10">
        <v>4.07</v>
      </c>
      <c r="AV3" s="10">
        <v>4.4000000000000004</v>
      </c>
      <c r="AW3" s="10">
        <v>3</v>
      </c>
      <c r="AX3" s="10">
        <v>3.49</v>
      </c>
      <c r="AY3" s="10">
        <v>3.45</v>
      </c>
      <c r="AZ3" s="10">
        <v>3.49</v>
      </c>
      <c r="BA3" s="10">
        <v>4.6399999999999997</v>
      </c>
      <c r="BB3" s="10">
        <v>5.34</v>
      </c>
      <c r="BC3" s="10">
        <v>3.81</v>
      </c>
      <c r="BD3" s="10">
        <v>5.01</v>
      </c>
      <c r="BE3" s="10">
        <v>3.57</v>
      </c>
      <c r="BF3" s="10">
        <v>3.76</v>
      </c>
      <c r="BG3" s="10">
        <v>3.74</v>
      </c>
      <c r="BH3" s="10">
        <v>3.71</v>
      </c>
      <c r="BI3" s="10">
        <v>3.7</v>
      </c>
      <c r="BJ3" s="10">
        <v>2.92</v>
      </c>
      <c r="BK3" s="10">
        <v>2.61</v>
      </c>
      <c r="BL3" s="10">
        <v>3.3</v>
      </c>
    </row>
    <row r="4" spans="1:64" x14ac:dyDescent="0.25">
      <c r="A4" s="10">
        <v>3.24</v>
      </c>
      <c r="B4" s="10">
        <v>2</v>
      </c>
      <c r="C4" s="10">
        <v>3.92</v>
      </c>
      <c r="D4" s="10">
        <v>3.54</v>
      </c>
      <c r="E4" s="10">
        <v>5</v>
      </c>
      <c r="F4" s="10">
        <v>5.78</v>
      </c>
      <c r="G4" s="10">
        <v>5.53</v>
      </c>
      <c r="H4" s="10">
        <v>4.3499999999999996</v>
      </c>
      <c r="I4" s="10">
        <v>3.39</v>
      </c>
      <c r="J4" s="10">
        <v>3.36</v>
      </c>
      <c r="K4" s="10">
        <v>3.65</v>
      </c>
      <c r="L4" s="10">
        <v>2.8</v>
      </c>
      <c r="M4" s="10">
        <v>3.52</v>
      </c>
      <c r="N4" s="10">
        <v>3.32</v>
      </c>
      <c r="O4" s="10">
        <v>3.3</v>
      </c>
      <c r="P4" s="10">
        <v>3.32</v>
      </c>
      <c r="Q4" s="10">
        <v>3.9</v>
      </c>
      <c r="R4" s="10">
        <v>3.75</v>
      </c>
      <c r="S4" s="10">
        <v>3.38</v>
      </c>
      <c r="T4" s="10">
        <v>3.38</v>
      </c>
      <c r="U4" s="10">
        <v>3.93</v>
      </c>
      <c r="V4" s="10">
        <v>5.0599999999999996</v>
      </c>
      <c r="W4" s="10">
        <v>5.15</v>
      </c>
      <c r="X4" s="10">
        <v>4.83</v>
      </c>
      <c r="Y4" s="10">
        <v>3.93</v>
      </c>
      <c r="Z4" s="10">
        <v>3.28</v>
      </c>
      <c r="AA4" s="10">
        <v>3.97</v>
      </c>
      <c r="AB4" s="10">
        <v>3.39</v>
      </c>
      <c r="AC4" s="10">
        <v>3.13</v>
      </c>
      <c r="AD4" s="10">
        <v>3.75</v>
      </c>
      <c r="AE4" s="10">
        <v>3.9</v>
      </c>
      <c r="AF4" s="10">
        <v>3.39</v>
      </c>
      <c r="AG4" s="10">
        <v>3.8</v>
      </c>
      <c r="AH4" s="10">
        <v>4.7300000000000004</v>
      </c>
      <c r="AI4" s="10">
        <v>2</v>
      </c>
      <c r="AJ4" s="10">
        <v>4.72</v>
      </c>
      <c r="AK4" s="10">
        <v>3.95</v>
      </c>
      <c r="AL4" s="10">
        <v>4.66</v>
      </c>
      <c r="AM4" s="10">
        <v>5.1100000000000003</v>
      </c>
      <c r="AN4" s="10">
        <v>6.17</v>
      </c>
      <c r="AO4" s="10">
        <v>3.01</v>
      </c>
      <c r="AP4" s="10">
        <v>3.51</v>
      </c>
      <c r="AQ4" s="10">
        <v>3.38</v>
      </c>
      <c r="AR4" s="10">
        <v>3.78</v>
      </c>
      <c r="AS4" s="10">
        <v>3.39</v>
      </c>
      <c r="AT4" s="10">
        <v>3.61</v>
      </c>
      <c r="AU4" s="10">
        <v>2.77</v>
      </c>
      <c r="AV4" s="10">
        <v>4.41</v>
      </c>
      <c r="AW4" s="10">
        <v>3.98</v>
      </c>
      <c r="AX4" s="10">
        <v>2.1</v>
      </c>
      <c r="AY4" s="10">
        <v>3.39</v>
      </c>
      <c r="AZ4" s="10">
        <v>3</v>
      </c>
      <c r="BA4" s="10">
        <v>5.27</v>
      </c>
      <c r="BB4" s="10">
        <v>3.96</v>
      </c>
      <c r="BC4" s="10">
        <v>5.43</v>
      </c>
      <c r="BD4" s="10">
        <v>5.95</v>
      </c>
      <c r="BE4" s="10">
        <v>2.78</v>
      </c>
      <c r="BF4" s="10">
        <v>3.61</v>
      </c>
      <c r="BG4" s="10">
        <v>3.67</v>
      </c>
      <c r="BH4" s="10">
        <v>2.96</v>
      </c>
      <c r="BI4" s="10">
        <v>3.19</v>
      </c>
      <c r="BJ4" s="10">
        <v>3.3</v>
      </c>
      <c r="BK4" s="10">
        <v>3.78</v>
      </c>
      <c r="BL4" s="10">
        <v>3.4</v>
      </c>
    </row>
    <row r="5" spans="1:64" x14ac:dyDescent="0.25">
      <c r="A5" s="10">
        <v>3.89</v>
      </c>
      <c r="B5" s="10">
        <v>3.62</v>
      </c>
      <c r="C5" s="10">
        <v>3.9</v>
      </c>
      <c r="D5" s="10">
        <v>3.66</v>
      </c>
      <c r="E5" s="10">
        <v>6.06</v>
      </c>
      <c r="F5" s="10">
        <v>3.08</v>
      </c>
      <c r="G5" s="10">
        <v>4.99</v>
      </c>
      <c r="H5" s="10">
        <v>4.78</v>
      </c>
      <c r="I5" s="10">
        <v>3.96</v>
      </c>
      <c r="J5" s="10">
        <v>3.4</v>
      </c>
      <c r="K5" s="10">
        <v>3.23</v>
      </c>
      <c r="L5" s="10">
        <v>3.62</v>
      </c>
      <c r="M5" s="10">
        <v>3.9</v>
      </c>
      <c r="N5" s="10">
        <v>3.11</v>
      </c>
      <c r="O5" s="10">
        <v>3.49</v>
      </c>
      <c r="P5" s="10">
        <v>4.16</v>
      </c>
      <c r="Q5" s="10">
        <v>3.81</v>
      </c>
      <c r="R5" s="10">
        <v>3.9</v>
      </c>
      <c r="S5" s="10">
        <v>3.56</v>
      </c>
      <c r="T5" s="10">
        <v>3.86</v>
      </c>
      <c r="U5" s="10">
        <v>4.9000000000000004</v>
      </c>
      <c r="V5" s="10">
        <v>4.12</v>
      </c>
      <c r="W5" s="10">
        <v>4.41</v>
      </c>
      <c r="X5" s="10">
        <v>4.9400000000000004</v>
      </c>
      <c r="Y5" s="10">
        <v>3.49</v>
      </c>
      <c r="Z5" s="10">
        <v>3.62</v>
      </c>
      <c r="AA5" s="10">
        <v>3.35</v>
      </c>
      <c r="AB5" s="10">
        <v>2.98</v>
      </c>
      <c r="AC5" s="10">
        <v>3.61</v>
      </c>
      <c r="AD5" s="10">
        <v>3.44</v>
      </c>
      <c r="AE5" s="10">
        <v>3.43</v>
      </c>
      <c r="AF5" s="10">
        <v>3.69</v>
      </c>
      <c r="AG5" s="10">
        <v>3.92</v>
      </c>
      <c r="AH5" s="10">
        <v>3.8</v>
      </c>
      <c r="AI5" s="10">
        <v>3.68</v>
      </c>
      <c r="AJ5" s="10">
        <v>4.13</v>
      </c>
      <c r="AK5" s="10">
        <v>5.03</v>
      </c>
      <c r="AL5" s="10">
        <v>5.04</v>
      </c>
      <c r="AM5" s="10">
        <v>5.31</v>
      </c>
      <c r="AN5" s="10">
        <v>4.46</v>
      </c>
      <c r="AO5" s="10">
        <v>3.53</v>
      </c>
      <c r="AP5" s="10">
        <v>3.58</v>
      </c>
      <c r="AQ5" s="10">
        <v>4.04</v>
      </c>
      <c r="AR5" s="10">
        <v>3.3</v>
      </c>
      <c r="AS5" s="10">
        <v>3.58</v>
      </c>
      <c r="AT5" s="10">
        <v>3.65</v>
      </c>
      <c r="AU5" s="10">
        <v>3.28</v>
      </c>
      <c r="AV5" s="10">
        <v>3.03</v>
      </c>
      <c r="AW5" s="10">
        <v>3.19</v>
      </c>
      <c r="AX5" s="10">
        <v>3.5</v>
      </c>
      <c r="AY5" s="10">
        <v>2.99</v>
      </c>
      <c r="AZ5" s="10">
        <v>3.73</v>
      </c>
      <c r="BA5" s="10">
        <v>3.99</v>
      </c>
      <c r="BB5" s="10">
        <v>5.75</v>
      </c>
      <c r="BC5" s="10">
        <v>4.4800000000000004</v>
      </c>
      <c r="BD5" s="10">
        <v>4.0999999999999996</v>
      </c>
      <c r="BE5" s="10">
        <v>3.69</v>
      </c>
      <c r="BF5" s="10">
        <v>3.98</v>
      </c>
      <c r="BG5" s="10">
        <v>4.03</v>
      </c>
      <c r="BH5" s="10">
        <v>3.82</v>
      </c>
      <c r="BI5" s="10">
        <v>3.27</v>
      </c>
      <c r="BJ5" s="10">
        <v>3.9</v>
      </c>
      <c r="BK5" s="10">
        <v>3.33</v>
      </c>
      <c r="BL5" s="10">
        <v>3.79</v>
      </c>
    </row>
    <row r="6" spans="1:64" x14ac:dyDescent="0.25">
      <c r="A6" s="10">
        <v>3.15</v>
      </c>
      <c r="B6" s="10">
        <v>3.61</v>
      </c>
      <c r="C6" s="10">
        <v>3.25</v>
      </c>
      <c r="D6" s="10">
        <v>3.56</v>
      </c>
      <c r="E6" s="10">
        <v>4.5</v>
      </c>
      <c r="F6" s="10">
        <v>4.87</v>
      </c>
      <c r="G6" s="10">
        <v>3.73</v>
      </c>
      <c r="H6" s="10">
        <v>5.0999999999999996</v>
      </c>
      <c r="I6" s="10">
        <v>2.9</v>
      </c>
      <c r="J6" s="10">
        <v>3.1</v>
      </c>
      <c r="K6" s="10">
        <v>3.3</v>
      </c>
      <c r="L6" s="10">
        <v>2.84</v>
      </c>
      <c r="M6" s="10">
        <v>3.78</v>
      </c>
      <c r="N6" s="10">
        <v>3.59</v>
      </c>
      <c r="O6" s="10">
        <v>3.72</v>
      </c>
      <c r="P6" s="10">
        <v>3.22</v>
      </c>
      <c r="Q6" s="10">
        <v>4.42</v>
      </c>
      <c r="R6" s="10">
        <v>4</v>
      </c>
      <c r="S6" s="10">
        <v>3.91</v>
      </c>
      <c r="T6" s="10">
        <v>4.26</v>
      </c>
      <c r="U6" s="10">
        <v>7.63</v>
      </c>
      <c r="V6" s="10">
        <v>4.47</v>
      </c>
      <c r="W6" s="10">
        <v>4.9400000000000004</v>
      </c>
      <c r="X6" s="10">
        <v>4.18</v>
      </c>
      <c r="Y6" s="10">
        <v>4.0999999999999996</v>
      </c>
      <c r="Z6" s="10">
        <v>4.0599999999999996</v>
      </c>
      <c r="AA6" s="10">
        <v>4.42</v>
      </c>
      <c r="AB6" s="10">
        <v>3.51</v>
      </c>
      <c r="AC6" s="10">
        <v>4.2300000000000004</v>
      </c>
      <c r="AD6" s="10">
        <v>3.67</v>
      </c>
      <c r="AE6" s="10">
        <v>3.5</v>
      </c>
      <c r="AF6" s="10">
        <v>3.71</v>
      </c>
      <c r="AG6" s="10">
        <v>4</v>
      </c>
      <c r="AH6" s="10">
        <v>3.62</v>
      </c>
      <c r="AI6" s="10">
        <v>3.27</v>
      </c>
      <c r="AJ6" s="10">
        <v>4.28</v>
      </c>
      <c r="AK6" s="10">
        <v>3.96</v>
      </c>
      <c r="AL6" s="10">
        <v>3.73</v>
      </c>
      <c r="AM6" s="10">
        <v>5.4</v>
      </c>
      <c r="AN6" s="10">
        <v>5.26</v>
      </c>
      <c r="AO6" s="10">
        <v>3.08</v>
      </c>
      <c r="AP6" s="10">
        <v>4.3099999999999996</v>
      </c>
      <c r="AQ6" s="10">
        <v>4.37</v>
      </c>
      <c r="AR6" s="10">
        <v>4.01</v>
      </c>
      <c r="AS6" s="10">
        <v>3.78</v>
      </c>
      <c r="AT6" s="10">
        <v>3.97</v>
      </c>
      <c r="AU6" s="10">
        <v>3.95</v>
      </c>
      <c r="AV6" s="10">
        <v>3.93</v>
      </c>
      <c r="AW6" s="10">
        <v>3.4</v>
      </c>
      <c r="AX6" s="10">
        <v>3.19</v>
      </c>
      <c r="AY6" s="10">
        <v>3.17</v>
      </c>
      <c r="AZ6" s="10">
        <v>3.9</v>
      </c>
      <c r="BA6" s="10">
        <v>4.91</v>
      </c>
      <c r="BB6" s="10">
        <v>4.58</v>
      </c>
      <c r="BC6" s="10">
        <v>4.0599999999999996</v>
      </c>
      <c r="BD6" s="10">
        <v>4.13</v>
      </c>
      <c r="BE6" s="10">
        <v>3.13</v>
      </c>
      <c r="BF6" s="10">
        <v>3.66</v>
      </c>
      <c r="BG6" s="10">
        <v>3.08</v>
      </c>
      <c r="BH6" s="10">
        <v>4.1500000000000004</v>
      </c>
      <c r="BI6" s="10">
        <v>3.43</v>
      </c>
      <c r="BJ6" s="10">
        <v>3.44</v>
      </c>
      <c r="BK6" s="10">
        <v>3.65</v>
      </c>
      <c r="BL6" s="10">
        <v>3.9</v>
      </c>
    </row>
    <row r="7" spans="1:64" x14ac:dyDescent="0.25">
      <c r="A7" s="10">
        <v>3.54</v>
      </c>
      <c r="B7" s="10">
        <v>3.61</v>
      </c>
      <c r="C7" s="10">
        <v>3.84</v>
      </c>
      <c r="D7" s="10">
        <v>3.69</v>
      </c>
      <c r="E7" s="10">
        <v>4.5</v>
      </c>
      <c r="F7" s="10">
        <v>4.62</v>
      </c>
      <c r="G7" s="10">
        <v>4.3899999999999997</v>
      </c>
      <c r="H7" s="10">
        <v>4.42</v>
      </c>
      <c r="I7" s="10">
        <v>3.22</v>
      </c>
      <c r="J7" s="10">
        <v>3.56</v>
      </c>
      <c r="K7" s="10">
        <v>3.9</v>
      </c>
      <c r="L7" s="10">
        <v>3.58</v>
      </c>
      <c r="M7" s="10">
        <v>3.73</v>
      </c>
      <c r="N7" s="10">
        <v>3.86</v>
      </c>
      <c r="O7" s="10">
        <v>3.62</v>
      </c>
      <c r="P7" s="10">
        <v>3.57</v>
      </c>
      <c r="Q7" s="10">
        <v>3.01</v>
      </c>
      <c r="R7" s="10">
        <v>3.42</v>
      </c>
      <c r="S7" s="10">
        <v>3</v>
      </c>
      <c r="T7" s="10">
        <v>2</v>
      </c>
      <c r="U7" s="10">
        <v>5.35</v>
      </c>
      <c r="V7" s="10">
        <v>5.03</v>
      </c>
      <c r="W7" s="10">
        <v>4.55</v>
      </c>
      <c r="X7" s="10">
        <v>3.7</v>
      </c>
      <c r="Y7" s="10">
        <v>3.48</v>
      </c>
      <c r="Z7" s="10">
        <v>3.31</v>
      </c>
      <c r="AA7" s="10">
        <v>3.78</v>
      </c>
      <c r="AB7" s="10">
        <v>3.2</v>
      </c>
      <c r="AC7" s="10">
        <v>3.13</v>
      </c>
      <c r="AD7" s="10">
        <v>3.25</v>
      </c>
      <c r="AE7" s="10">
        <v>3.31</v>
      </c>
      <c r="AF7" s="10">
        <v>3.21</v>
      </c>
      <c r="AG7" s="10">
        <v>3.69</v>
      </c>
      <c r="AH7" s="10">
        <v>3.75</v>
      </c>
      <c r="AI7" s="10">
        <v>3.69</v>
      </c>
      <c r="AJ7" s="10">
        <v>3.09</v>
      </c>
      <c r="AK7" s="10">
        <v>5.4</v>
      </c>
      <c r="AL7" s="10">
        <v>4.9800000000000004</v>
      </c>
      <c r="AM7" s="10">
        <v>5.12</v>
      </c>
      <c r="AN7" s="10">
        <v>5.13</v>
      </c>
      <c r="AO7" s="10">
        <v>3.53</v>
      </c>
      <c r="AP7" s="10">
        <v>3.51</v>
      </c>
      <c r="AQ7" s="10">
        <v>3.5</v>
      </c>
      <c r="AR7" s="10">
        <v>3.44</v>
      </c>
      <c r="AS7" s="10">
        <v>3.79</v>
      </c>
      <c r="AT7" s="10">
        <v>3.61</v>
      </c>
      <c r="AU7" s="10">
        <v>3.59</v>
      </c>
      <c r="AV7" s="10">
        <v>3.27</v>
      </c>
      <c r="AW7" s="10">
        <v>2.79</v>
      </c>
      <c r="AX7" s="10">
        <v>3.55</v>
      </c>
      <c r="AY7" s="10">
        <v>3.64</v>
      </c>
      <c r="AZ7" s="10">
        <v>3.8</v>
      </c>
      <c r="BA7" s="10">
        <v>4.79</v>
      </c>
      <c r="BB7" s="10">
        <v>4.3099999999999996</v>
      </c>
      <c r="BC7" s="10">
        <v>5.0599999999999996</v>
      </c>
      <c r="BD7" s="10">
        <v>5.83</v>
      </c>
      <c r="BE7" s="10">
        <v>3.73</v>
      </c>
      <c r="BF7" s="10">
        <v>3.21</v>
      </c>
      <c r="BG7" s="10">
        <v>3.61</v>
      </c>
      <c r="BH7" s="10">
        <v>3.9</v>
      </c>
      <c r="BI7" s="10">
        <v>3.61</v>
      </c>
      <c r="BJ7" s="10">
        <v>3.39</v>
      </c>
      <c r="BK7" s="10">
        <v>3.88</v>
      </c>
      <c r="BL7" s="10">
        <v>3.65</v>
      </c>
    </row>
    <row r="8" spans="1:64" x14ac:dyDescent="0.25">
      <c r="A8" s="10">
        <v>4.0599999999999996</v>
      </c>
      <c r="B8" s="10">
        <v>3.71</v>
      </c>
      <c r="C8" s="10">
        <v>3.65</v>
      </c>
      <c r="D8" s="10">
        <v>3.35</v>
      </c>
      <c r="E8" s="10">
        <v>3.9</v>
      </c>
      <c r="F8" s="10">
        <v>4.71</v>
      </c>
      <c r="G8" s="10">
        <v>5.46</v>
      </c>
      <c r="H8" s="10">
        <v>4.84</v>
      </c>
      <c r="I8" s="10">
        <v>3.4</v>
      </c>
      <c r="J8" s="10">
        <v>3.98</v>
      </c>
      <c r="K8" s="10">
        <v>2.91</v>
      </c>
      <c r="L8" s="10">
        <v>3.78</v>
      </c>
      <c r="M8" s="10">
        <v>3.41</v>
      </c>
      <c r="N8" s="10">
        <v>3.63</v>
      </c>
      <c r="O8" s="10">
        <v>3.9</v>
      </c>
      <c r="P8" s="10">
        <v>3.78</v>
      </c>
      <c r="Q8" s="10">
        <v>3.62</v>
      </c>
      <c r="R8" s="10">
        <v>3.38</v>
      </c>
      <c r="S8" s="10">
        <v>3.26</v>
      </c>
      <c r="T8" s="10">
        <v>3.26</v>
      </c>
      <c r="U8" s="10">
        <v>4.09</v>
      </c>
      <c r="V8" s="10">
        <v>4.97</v>
      </c>
      <c r="W8" s="10">
        <v>5.0199999999999996</v>
      </c>
      <c r="X8" s="10">
        <v>4.72</v>
      </c>
      <c r="Y8" s="10">
        <v>2.95</v>
      </c>
      <c r="Z8" s="10">
        <v>3.28</v>
      </c>
      <c r="AA8" s="10">
        <v>3.99</v>
      </c>
      <c r="AB8" s="10">
        <v>3.34</v>
      </c>
      <c r="AC8" s="10">
        <v>3.47</v>
      </c>
      <c r="AD8" s="10">
        <v>3.37</v>
      </c>
      <c r="AE8" s="10">
        <v>3.75</v>
      </c>
      <c r="AF8" s="10">
        <v>3.53</v>
      </c>
      <c r="AG8" s="10">
        <v>4.42</v>
      </c>
      <c r="AH8" s="10">
        <v>3.7</v>
      </c>
      <c r="AI8" s="10">
        <v>3.65</v>
      </c>
      <c r="AJ8" s="10">
        <v>4.18</v>
      </c>
      <c r="AK8" s="10">
        <v>4.6100000000000003</v>
      </c>
      <c r="AL8" s="10">
        <v>4.92</v>
      </c>
      <c r="AM8" s="10">
        <v>4.8</v>
      </c>
      <c r="AN8" s="10">
        <v>3.59</v>
      </c>
      <c r="AO8" s="10">
        <v>4.0999999999999996</v>
      </c>
      <c r="AP8" s="10">
        <v>3.64</v>
      </c>
      <c r="AQ8" s="10">
        <v>4.5</v>
      </c>
      <c r="AR8" s="10">
        <v>3.08</v>
      </c>
      <c r="AS8" s="10">
        <v>3.81</v>
      </c>
      <c r="AT8" s="10">
        <v>4.28</v>
      </c>
      <c r="AU8" s="10">
        <v>3.71</v>
      </c>
      <c r="AV8" s="10">
        <v>3.42</v>
      </c>
      <c r="AW8" s="10">
        <v>4.0199999999999996</v>
      </c>
      <c r="AX8" s="10">
        <v>4.1900000000000004</v>
      </c>
      <c r="AY8" s="10">
        <v>3.67</v>
      </c>
      <c r="AZ8" s="10">
        <v>3.8</v>
      </c>
      <c r="BA8" s="10">
        <v>4.53</v>
      </c>
      <c r="BB8" s="10">
        <v>5</v>
      </c>
      <c r="BC8" s="10">
        <v>4.66</v>
      </c>
      <c r="BD8" s="10">
        <v>4.22</v>
      </c>
      <c r="BE8" s="10">
        <v>2.91</v>
      </c>
      <c r="BF8" s="10">
        <v>3.44</v>
      </c>
      <c r="BG8" s="10">
        <v>3.09</v>
      </c>
      <c r="BH8" s="10">
        <v>3.82</v>
      </c>
      <c r="BI8" s="10">
        <v>3.75</v>
      </c>
      <c r="BJ8" s="10">
        <v>3.89</v>
      </c>
      <c r="BK8" s="10">
        <v>3.86</v>
      </c>
      <c r="BL8" s="10">
        <v>3.02</v>
      </c>
    </row>
    <row r="9" spans="1:64" x14ac:dyDescent="0.25">
      <c r="A9" s="10">
        <v>3.15</v>
      </c>
      <c r="B9" s="10">
        <v>3.9</v>
      </c>
      <c r="C9" s="10">
        <v>3.31</v>
      </c>
      <c r="D9" s="10">
        <v>3.31</v>
      </c>
      <c r="E9" s="10">
        <v>4.45</v>
      </c>
      <c r="F9" s="10">
        <v>4.24</v>
      </c>
      <c r="G9" s="10">
        <v>4.6399999999999997</v>
      </c>
      <c r="H9" s="10">
        <v>4.66</v>
      </c>
      <c r="I9" s="10">
        <v>3.29</v>
      </c>
      <c r="J9" s="10">
        <v>3.39</v>
      </c>
      <c r="K9" s="10">
        <v>3.9</v>
      </c>
      <c r="L9" s="10">
        <v>3.15</v>
      </c>
      <c r="M9" s="10">
        <v>3.4</v>
      </c>
      <c r="N9" s="10">
        <v>3.9</v>
      </c>
      <c r="O9" s="10">
        <v>3.35</v>
      </c>
      <c r="P9" s="10">
        <v>3.03</v>
      </c>
      <c r="Q9" s="10">
        <v>3.84</v>
      </c>
      <c r="R9" s="10">
        <v>3.2</v>
      </c>
      <c r="S9" s="10">
        <v>3.62</v>
      </c>
      <c r="T9" s="10">
        <v>3.52</v>
      </c>
      <c r="U9" s="10">
        <v>4.5</v>
      </c>
      <c r="V9" s="10">
        <v>5.4</v>
      </c>
      <c r="W9" s="10">
        <v>4.9000000000000004</v>
      </c>
      <c r="X9" s="10">
        <v>5.25</v>
      </c>
      <c r="Y9" s="10">
        <v>3.8</v>
      </c>
      <c r="Z9" s="10">
        <v>3.74</v>
      </c>
      <c r="AA9" s="10">
        <v>3.04</v>
      </c>
      <c r="AB9" s="10">
        <v>3.88</v>
      </c>
      <c r="AC9" s="10">
        <v>3.66</v>
      </c>
      <c r="AD9" s="10">
        <v>3.9</v>
      </c>
      <c r="AE9" s="10">
        <v>3.26</v>
      </c>
      <c r="AF9" s="10">
        <v>3.9</v>
      </c>
      <c r="AG9" s="10">
        <v>3.6</v>
      </c>
      <c r="AH9" s="10">
        <v>2.98</v>
      </c>
      <c r="AI9" s="10">
        <v>3.35</v>
      </c>
      <c r="AJ9" s="10">
        <v>3.52</v>
      </c>
      <c r="AK9" s="10">
        <v>4.58</v>
      </c>
      <c r="AL9" s="10">
        <v>4.79</v>
      </c>
      <c r="AM9" s="10">
        <v>5.66</v>
      </c>
      <c r="AN9" s="10">
        <v>5.31</v>
      </c>
      <c r="AO9" s="10">
        <v>3.52</v>
      </c>
      <c r="AP9" s="10">
        <v>3</v>
      </c>
      <c r="AQ9" s="10">
        <v>3.39</v>
      </c>
      <c r="AR9" s="10">
        <v>3.57</v>
      </c>
      <c r="AS9" s="10">
        <v>3.32</v>
      </c>
      <c r="AT9" s="10">
        <v>4</v>
      </c>
      <c r="AU9" s="10">
        <v>3.84</v>
      </c>
      <c r="AV9" s="10">
        <v>2.82</v>
      </c>
      <c r="AW9" s="10">
        <v>3.95</v>
      </c>
      <c r="AX9" s="10">
        <v>3.6</v>
      </c>
      <c r="AY9" s="10">
        <v>3.88</v>
      </c>
      <c r="AZ9" s="10">
        <v>3.1</v>
      </c>
      <c r="BA9" s="10">
        <v>4.5</v>
      </c>
      <c r="BB9" s="10">
        <v>6.31</v>
      </c>
      <c r="BC9" s="10">
        <v>4.0999999999999996</v>
      </c>
      <c r="BD9" s="10">
        <v>3.77</v>
      </c>
      <c r="BE9" s="10">
        <v>3.2</v>
      </c>
      <c r="BF9" s="10">
        <v>3.09</v>
      </c>
      <c r="BG9" s="10">
        <v>3.48</v>
      </c>
      <c r="BH9" s="10">
        <v>2.95</v>
      </c>
      <c r="BI9" s="10">
        <v>3.76</v>
      </c>
      <c r="BJ9" s="10">
        <v>3.63</v>
      </c>
      <c r="BK9" s="10">
        <v>3.19</v>
      </c>
      <c r="BL9" s="10">
        <v>3.75</v>
      </c>
    </row>
    <row r="10" spans="1:64" x14ac:dyDescent="0.25">
      <c r="A10" s="10">
        <v>3.49</v>
      </c>
      <c r="B10" s="10">
        <v>3.5</v>
      </c>
      <c r="C10" s="10">
        <v>3.67</v>
      </c>
      <c r="D10" s="10">
        <v>3.59</v>
      </c>
      <c r="E10" s="10">
        <v>4.01</v>
      </c>
      <c r="F10" s="10">
        <v>4.37</v>
      </c>
      <c r="G10" s="10">
        <v>4.5</v>
      </c>
      <c r="H10" s="10">
        <v>5.47</v>
      </c>
      <c r="I10" s="10">
        <v>4.5</v>
      </c>
      <c r="J10" s="10">
        <v>3.93</v>
      </c>
      <c r="K10" s="10">
        <v>3.48</v>
      </c>
      <c r="L10" s="10">
        <v>3.18</v>
      </c>
      <c r="M10" s="10">
        <v>2.94</v>
      </c>
      <c r="N10" s="10">
        <v>3.38</v>
      </c>
      <c r="O10" s="10">
        <v>3.09</v>
      </c>
      <c r="P10" s="10">
        <v>3.61</v>
      </c>
      <c r="Q10" s="10">
        <v>3.75</v>
      </c>
      <c r="R10" s="10">
        <v>3.11</v>
      </c>
      <c r="S10" s="10">
        <v>3.97</v>
      </c>
      <c r="T10" s="10">
        <v>3.66</v>
      </c>
      <c r="U10" s="10">
        <v>5.19</v>
      </c>
      <c r="V10" s="10">
        <v>5</v>
      </c>
      <c r="W10" s="10">
        <v>4.84</v>
      </c>
      <c r="X10" s="10">
        <v>5.3</v>
      </c>
      <c r="Y10" s="10">
        <v>4.0199999999999996</v>
      </c>
      <c r="Z10" s="10">
        <v>3.9</v>
      </c>
      <c r="AA10" s="10">
        <v>3.4</v>
      </c>
      <c r="AB10" s="10">
        <v>3.29</v>
      </c>
      <c r="AC10" s="10">
        <v>3.25</v>
      </c>
      <c r="AD10" s="10">
        <v>4.04</v>
      </c>
      <c r="AE10" s="10">
        <v>4.2300000000000004</v>
      </c>
      <c r="AF10" s="10">
        <v>3.58</v>
      </c>
      <c r="AG10" s="10">
        <v>3.87</v>
      </c>
      <c r="AH10" s="10">
        <v>3.75</v>
      </c>
      <c r="AI10" s="10">
        <v>4.13</v>
      </c>
      <c r="AJ10" s="10">
        <v>3.63</v>
      </c>
      <c r="AK10" s="10">
        <v>5.9</v>
      </c>
      <c r="AL10" s="10">
        <v>5.83</v>
      </c>
      <c r="AM10" s="10">
        <v>6.48</v>
      </c>
      <c r="AN10" s="10">
        <v>6.5</v>
      </c>
      <c r="AO10" s="10">
        <v>3.98</v>
      </c>
      <c r="AP10" s="10">
        <v>3.05</v>
      </c>
      <c r="AQ10" s="10">
        <v>3</v>
      </c>
      <c r="AR10" s="10">
        <v>3.75</v>
      </c>
      <c r="AS10" s="10">
        <v>4.18</v>
      </c>
      <c r="AT10" s="10">
        <v>3.61</v>
      </c>
      <c r="AU10" s="10">
        <v>3.65</v>
      </c>
      <c r="AV10" s="10">
        <v>4.2300000000000004</v>
      </c>
      <c r="AW10" s="10">
        <v>2.92</v>
      </c>
      <c r="AX10" s="10">
        <v>3.14</v>
      </c>
      <c r="AY10" s="10">
        <v>3.38</v>
      </c>
      <c r="AZ10" s="10">
        <v>3.66</v>
      </c>
      <c r="BA10" s="10">
        <v>4.93</v>
      </c>
      <c r="BB10" s="10">
        <v>3.57</v>
      </c>
      <c r="BC10" s="10">
        <v>4.3</v>
      </c>
      <c r="BD10" s="10">
        <v>4.0999999999999996</v>
      </c>
      <c r="BE10" s="10">
        <v>3.66</v>
      </c>
      <c r="BF10" s="10">
        <v>3.71</v>
      </c>
      <c r="BG10" s="10">
        <v>3.61</v>
      </c>
      <c r="BH10" s="10">
        <v>3.43</v>
      </c>
      <c r="BI10" s="10">
        <v>3.58</v>
      </c>
      <c r="BJ10" s="10">
        <v>3.58</v>
      </c>
      <c r="BK10" s="10">
        <v>3.46</v>
      </c>
      <c r="BL10" s="10">
        <v>3.3</v>
      </c>
    </row>
    <row r="11" spans="1:64" x14ac:dyDescent="0.25">
      <c r="A11" s="10">
        <v>3.4</v>
      </c>
      <c r="B11" s="10">
        <v>3.39</v>
      </c>
      <c r="C11" s="10">
        <v>3.9</v>
      </c>
      <c r="D11" s="10">
        <v>4</v>
      </c>
      <c r="E11" s="10">
        <v>4.5</v>
      </c>
      <c r="F11" s="10">
        <v>3.85</v>
      </c>
      <c r="G11" s="10">
        <v>4.0599999999999996</v>
      </c>
      <c r="H11" s="10">
        <v>2.86</v>
      </c>
      <c r="I11" s="10">
        <v>3.68</v>
      </c>
      <c r="J11" s="10">
        <v>3.67</v>
      </c>
      <c r="K11" s="10">
        <v>4</v>
      </c>
      <c r="L11" s="10">
        <v>3.3</v>
      </c>
      <c r="M11" s="10">
        <v>3.66</v>
      </c>
      <c r="N11" s="10">
        <v>3.49</v>
      </c>
      <c r="O11" s="10">
        <v>3.31</v>
      </c>
      <c r="P11" s="10">
        <v>3.63</v>
      </c>
      <c r="Q11" s="10">
        <v>3.38</v>
      </c>
      <c r="R11" s="10">
        <v>3.62</v>
      </c>
      <c r="S11" s="10">
        <v>3.2</v>
      </c>
      <c r="T11" s="10">
        <v>3.03</v>
      </c>
      <c r="U11" s="10">
        <v>4.37</v>
      </c>
      <c r="V11" s="10">
        <v>4.66</v>
      </c>
      <c r="W11" s="10">
        <v>5</v>
      </c>
      <c r="X11" s="10">
        <v>3.45</v>
      </c>
      <c r="Y11" s="10">
        <v>3.03</v>
      </c>
      <c r="Z11" s="10">
        <v>3.48</v>
      </c>
      <c r="AA11" s="10">
        <v>3.97</v>
      </c>
      <c r="AB11" s="10">
        <v>3.59</v>
      </c>
      <c r="AC11" s="10">
        <v>3.46</v>
      </c>
      <c r="AD11" s="10">
        <v>3.43</v>
      </c>
      <c r="AE11" s="10">
        <v>3.32</v>
      </c>
      <c r="AF11" s="10">
        <v>3.07</v>
      </c>
      <c r="AG11" s="10">
        <v>3.27</v>
      </c>
      <c r="AH11" s="10">
        <v>3.61</v>
      </c>
      <c r="AI11" s="10">
        <v>3.55</v>
      </c>
      <c r="AJ11" s="10">
        <v>3.81</v>
      </c>
      <c r="AK11" s="10">
        <v>4.88</v>
      </c>
      <c r="AL11" s="10">
        <v>5</v>
      </c>
      <c r="AM11" s="10">
        <v>5.09</v>
      </c>
      <c r="AN11" s="10">
        <v>4.24</v>
      </c>
      <c r="AO11" s="10">
        <v>3.35</v>
      </c>
      <c r="AP11" s="10">
        <v>3.55</v>
      </c>
      <c r="AQ11" s="10">
        <v>3.7</v>
      </c>
      <c r="AR11" s="10">
        <v>3.88</v>
      </c>
      <c r="AS11" s="10">
        <v>3.71</v>
      </c>
      <c r="AT11" s="10">
        <v>3.32</v>
      </c>
      <c r="AU11" s="10">
        <v>3.32</v>
      </c>
      <c r="AV11" s="10">
        <v>3.2</v>
      </c>
      <c r="AW11" s="10">
        <v>3.79</v>
      </c>
      <c r="AX11" s="10">
        <v>3.76</v>
      </c>
      <c r="AY11" s="10">
        <v>3.58</v>
      </c>
      <c r="AZ11" s="10">
        <v>3.42</v>
      </c>
      <c r="BA11" s="10">
        <v>5.0599999999999996</v>
      </c>
      <c r="BB11" s="10">
        <v>6.12</v>
      </c>
      <c r="BC11" s="10">
        <v>5.71</v>
      </c>
      <c r="BD11" s="10">
        <v>4.1399999999999997</v>
      </c>
      <c r="BE11" s="10">
        <v>3.9</v>
      </c>
      <c r="BF11" s="10">
        <v>3.55</v>
      </c>
      <c r="BG11" s="10">
        <v>3.97</v>
      </c>
      <c r="BH11" s="10">
        <v>3.62</v>
      </c>
      <c r="BI11" s="10">
        <v>3.57</v>
      </c>
      <c r="BJ11" s="10">
        <v>3.97</v>
      </c>
      <c r="BK11" s="10">
        <v>2.99</v>
      </c>
      <c r="BL11" s="10">
        <v>3.4</v>
      </c>
    </row>
    <row r="12" spans="1:64" x14ac:dyDescent="0.25">
      <c r="A12" s="10">
        <v>3.29</v>
      </c>
      <c r="B12" s="10">
        <v>3.79</v>
      </c>
      <c r="C12" s="10">
        <v>3.54</v>
      </c>
      <c r="D12" s="10">
        <v>3.9</v>
      </c>
      <c r="E12" s="10">
        <v>4.2</v>
      </c>
      <c r="F12" s="10">
        <v>4.83</v>
      </c>
      <c r="G12" s="10">
        <v>5.15</v>
      </c>
      <c r="H12" s="10">
        <v>5.27</v>
      </c>
      <c r="I12" s="10">
        <v>3.14</v>
      </c>
      <c r="J12" s="10">
        <v>3.9</v>
      </c>
      <c r="K12" s="10">
        <v>3.49</v>
      </c>
      <c r="L12" s="10">
        <v>3.76</v>
      </c>
      <c r="M12" s="10">
        <v>3.55</v>
      </c>
      <c r="N12" s="10">
        <v>3.73</v>
      </c>
      <c r="O12" s="10">
        <v>4.08</v>
      </c>
      <c r="P12" s="10">
        <v>3.5</v>
      </c>
      <c r="Q12" s="10">
        <v>3.43</v>
      </c>
      <c r="R12" s="10">
        <v>3.55</v>
      </c>
      <c r="S12" s="10">
        <v>3.44</v>
      </c>
      <c r="T12" s="10">
        <v>3.22</v>
      </c>
      <c r="U12" s="10">
        <v>5.43</v>
      </c>
      <c r="V12" s="10">
        <v>5.97</v>
      </c>
      <c r="W12" s="10">
        <v>3.97</v>
      </c>
      <c r="X12" s="10">
        <v>4.63</v>
      </c>
      <c r="Y12" s="10">
        <v>3.24</v>
      </c>
      <c r="Z12" s="10">
        <v>3.23</v>
      </c>
      <c r="AA12" s="10">
        <v>3.44</v>
      </c>
      <c r="AB12" s="10">
        <v>3.65</v>
      </c>
      <c r="AC12" s="10">
        <v>3.27</v>
      </c>
      <c r="AD12" s="10">
        <v>3.15</v>
      </c>
      <c r="AE12" s="10">
        <v>3.69</v>
      </c>
      <c r="AF12" s="10">
        <v>3.58</v>
      </c>
      <c r="AG12" s="10">
        <v>3.92</v>
      </c>
      <c r="AH12" s="10">
        <v>2.84</v>
      </c>
      <c r="AI12" s="10">
        <v>3.8</v>
      </c>
      <c r="AJ12" s="10">
        <v>4.5999999999999996</v>
      </c>
      <c r="AK12" s="10">
        <v>5.69</v>
      </c>
      <c r="AL12" s="10">
        <v>4.24</v>
      </c>
      <c r="AM12" s="10">
        <v>4.1500000000000004</v>
      </c>
      <c r="AN12" s="10">
        <v>4.87</v>
      </c>
      <c r="AO12" s="10">
        <v>4.18</v>
      </c>
      <c r="AP12" s="10">
        <v>3.5</v>
      </c>
      <c r="AQ12" s="10">
        <v>3.83</v>
      </c>
      <c r="AR12" s="10">
        <v>3</v>
      </c>
      <c r="AS12" s="10">
        <v>3.88</v>
      </c>
      <c r="AT12" s="10">
        <v>3.64</v>
      </c>
      <c r="AU12" s="10">
        <v>4.28</v>
      </c>
      <c r="AV12" s="10">
        <v>4.8499999999999996</v>
      </c>
      <c r="AW12" s="10">
        <v>3.02</v>
      </c>
      <c r="AX12" s="10">
        <v>3.12</v>
      </c>
      <c r="AY12" s="10">
        <v>3.13</v>
      </c>
      <c r="AZ12" s="10">
        <v>3.77</v>
      </c>
      <c r="BA12" s="10">
        <v>4.2699999999999996</v>
      </c>
      <c r="BB12" s="10">
        <v>5.08</v>
      </c>
      <c r="BC12" s="10">
        <v>5.29</v>
      </c>
      <c r="BD12" s="10">
        <v>4.08</v>
      </c>
      <c r="BE12" s="10">
        <v>2.97</v>
      </c>
      <c r="BF12" s="10">
        <v>3.49</v>
      </c>
      <c r="BG12" s="10">
        <v>3.9</v>
      </c>
      <c r="BH12" s="10">
        <v>3.15</v>
      </c>
      <c r="BI12" s="10">
        <v>3.9</v>
      </c>
      <c r="BJ12" s="10">
        <v>3.14</v>
      </c>
      <c r="BK12" s="10">
        <v>3.2</v>
      </c>
      <c r="BL12" s="10">
        <v>2.96</v>
      </c>
    </row>
    <row r="13" spans="1:64" x14ac:dyDescent="0.25">
      <c r="A13" s="10">
        <v>3.33</v>
      </c>
      <c r="B13" s="10">
        <v>3.21</v>
      </c>
      <c r="C13" s="10">
        <v>3.63</v>
      </c>
      <c r="D13" s="10">
        <v>3.53</v>
      </c>
      <c r="E13" s="10">
        <v>5</v>
      </c>
      <c r="F13" s="10">
        <v>4.34</v>
      </c>
      <c r="G13" s="10">
        <v>4.1100000000000003</v>
      </c>
      <c r="H13" s="10">
        <v>3.47</v>
      </c>
      <c r="I13" s="10">
        <v>3.35</v>
      </c>
      <c r="J13" s="10">
        <v>3.69</v>
      </c>
      <c r="K13" s="10">
        <v>3</v>
      </c>
      <c r="L13" s="10">
        <v>3.35</v>
      </c>
      <c r="M13" s="10">
        <v>3.64</v>
      </c>
      <c r="N13" s="10">
        <v>3.57</v>
      </c>
      <c r="O13" s="10">
        <v>3.14</v>
      </c>
      <c r="P13" s="10">
        <v>3.41</v>
      </c>
      <c r="Q13" s="10">
        <v>3.59</v>
      </c>
      <c r="R13" s="10">
        <v>3.33</v>
      </c>
      <c r="S13" s="10">
        <v>3.69</v>
      </c>
      <c r="T13" s="10">
        <v>3.58</v>
      </c>
      <c r="U13" s="10">
        <v>4.41</v>
      </c>
      <c r="V13" s="10">
        <v>4.03</v>
      </c>
      <c r="W13" s="10">
        <v>5.36</v>
      </c>
      <c r="X13" s="10">
        <v>3.81</v>
      </c>
      <c r="Y13" s="10">
        <v>3</v>
      </c>
      <c r="Z13" s="10">
        <v>3.43</v>
      </c>
      <c r="AA13" s="10">
        <v>3.61</v>
      </c>
      <c r="AB13" s="10">
        <v>3.54</v>
      </c>
      <c r="AC13" s="10">
        <v>3.28</v>
      </c>
      <c r="AD13" s="10">
        <v>3.51</v>
      </c>
      <c r="AE13" s="10">
        <v>3.34</v>
      </c>
      <c r="AF13" s="10">
        <v>3.31</v>
      </c>
      <c r="AG13" s="10">
        <v>4</v>
      </c>
      <c r="AH13" s="10">
        <v>3.2</v>
      </c>
      <c r="AI13" s="10">
        <v>4.05</v>
      </c>
      <c r="AJ13" s="10">
        <v>4.28</v>
      </c>
      <c r="AK13" s="10">
        <v>5.28</v>
      </c>
      <c r="AL13" s="10">
        <v>4.6100000000000003</v>
      </c>
      <c r="AM13" s="10">
        <v>6.29</v>
      </c>
      <c r="AN13" s="10">
        <v>5.82</v>
      </c>
      <c r="AO13" s="10">
        <v>3.38</v>
      </c>
      <c r="AP13" s="10">
        <v>3.67</v>
      </c>
      <c r="AQ13" s="10">
        <v>3.73</v>
      </c>
      <c r="AR13" s="10">
        <v>3</v>
      </c>
      <c r="AS13" s="10">
        <v>4.1100000000000003</v>
      </c>
      <c r="AT13" s="10">
        <v>3.52</v>
      </c>
      <c r="AU13" s="10">
        <v>3.18</v>
      </c>
      <c r="AV13" s="10">
        <v>3.78</v>
      </c>
      <c r="AW13" s="10">
        <v>3.34</v>
      </c>
      <c r="AX13" s="10">
        <v>3.98</v>
      </c>
      <c r="AY13" s="10">
        <v>3.76</v>
      </c>
      <c r="AZ13" s="10">
        <v>3.28</v>
      </c>
      <c r="BA13" s="10">
        <v>4.93</v>
      </c>
      <c r="BB13" s="10">
        <v>5</v>
      </c>
      <c r="BC13" s="10">
        <v>5.23</v>
      </c>
      <c r="BD13" s="10">
        <v>4.33</v>
      </c>
      <c r="BE13" s="10">
        <v>3.38</v>
      </c>
      <c r="BF13" s="10">
        <v>3.9</v>
      </c>
      <c r="BG13" s="10">
        <v>3.7</v>
      </c>
      <c r="BH13" s="10">
        <v>3.39</v>
      </c>
      <c r="BI13" s="10">
        <v>3.98</v>
      </c>
      <c r="BJ13" s="10">
        <v>3.79</v>
      </c>
      <c r="BK13" s="10">
        <v>3.4</v>
      </c>
      <c r="BL13" s="10">
        <v>3.57</v>
      </c>
    </row>
    <row r="14" spans="1:64" x14ac:dyDescent="0.25">
      <c r="A14" s="10">
        <v>3.19</v>
      </c>
      <c r="B14" s="10">
        <v>3.7</v>
      </c>
      <c r="C14" s="10">
        <v>3.48</v>
      </c>
      <c r="D14" s="10">
        <v>3.5</v>
      </c>
      <c r="E14" s="10">
        <v>4.21</v>
      </c>
      <c r="F14" s="10">
        <v>5.6</v>
      </c>
      <c r="G14" s="10">
        <v>4.93</v>
      </c>
      <c r="H14" s="10">
        <v>5.31</v>
      </c>
      <c r="I14" s="10">
        <v>3.26</v>
      </c>
      <c r="J14" s="10">
        <v>3.18</v>
      </c>
      <c r="K14" s="10">
        <v>3.72</v>
      </c>
      <c r="L14" s="10">
        <v>3.4</v>
      </c>
      <c r="M14" s="10">
        <v>3.34</v>
      </c>
      <c r="N14" s="10">
        <v>3.33</v>
      </c>
      <c r="O14" s="10">
        <v>3.38</v>
      </c>
      <c r="P14" s="10">
        <v>3.46</v>
      </c>
      <c r="Q14" s="10">
        <v>2.88</v>
      </c>
      <c r="R14" s="10">
        <v>3.77</v>
      </c>
      <c r="S14" s="10">
        <v>3.32</v>
      </c>
      <c r="T14" s="10">
        <v>3.07</v>
      </c>
      <c r="U14" s="10">
        <v>5.34</v>
      </c>
      <c r="V14" s="10">
        <v>5</v>
      </c>
      <c r="W14" s="10">
        <v>4.7699999999999996</v>
      </c>
      <c r="X14" s="10">
        <v>5.0999999999999996</v>
      </c>
      <c r="Y14" s="10">
        <v>3.43</v>
      </c>
      <c r="Z14" s="10">
        <v>3</v>
      </c>
      <c r="AA14" s="10">
        <v>3.71</v>
      </c>
      <c r="AB14" s="10">
        <v>2.9</v>
      </c>
      <c r="AC14" s="10">
        <v>3.65</v>
      </c>
      <c r="AD14" s="10">
        <v>3.38</v>
      </c>
      <c r="AE14" s="10">
        <v>3.72</v>
      </c>
      <c r="AF14" s="10">
        <v>3.86</v>
      </c>
      <c r="AG14" s="10">
        <v>3.62</v>
      </c>
      <c r="AH14" s="10">
        <v>2.99</v>
      </c>
      <c r="AI14" s="10">
        <v>3</v>
      </c>
      <c r="AJ14" s="10">
        <v>3.45</v>
      </c>
      <c r="AK14" s="10">
        <v>4.74</v>
      </c>
      <c r="AL14" s="10">
        <v>5.49</v>
      </c>
      <c r="AM14" s="10">
        <v>4.24</v>
      </c>
      <c r="AN14" s="10">
        <v>4.47</v>
      </c>
      <c r="AO14" s="10">
        <v>3.34</v>
      </c>
      <c r="AP14" s="10">
        <v>3.6</v>
      </c>
      <c r="AQ14" s="10">
        <v>3.28</v>
      </c>
      <c r="AR14" s="10">
        <v>3.22</v>
      </c>
      <c r="AS14" s="10">
        <v>3</v>
      </c>
      <c r="AT14" s="10">
        <v>3.32</v>
      </c>
      <c r="AU14" s="10">
        <v>3.65</v>
      </c>
      <c r="AV14" s="10">
        <v>2.68</v>
      </c>
      <c r="AW14" s="10">
        <v>3.53</v>
      </c>
      <c r="AX14" s="10">
        <v>3.48</v>
      </c>
      <c r="AY14" s="10">
        <v>3.43</v>
      </c>
      <c r="AZ14" s="10">
        <v>3.23</v>
      </c>
      <c r="BA14" s="10">
        <v>4.5</v>
      </c>
      <c r="BB14" s="10">
        <v>4.76</v>
      </c>
      <c r="BC14" s="10">
        <v>4.8499999999999996</v>
      </c>
      <c r="BD14" s="10">
        <v>4.57</v>
      </c>
      <c r="BE14" s="10">
        <v>3.61</v>
      </c>
      <c r="BF14" s="10">
        <v>3.45</v>
      </c>
      <c r="BG14" s="10">
        <v>3.8</v>
      </c>
      <c r="BH14" s="10">
        <v>3.68</v>
      </c>
      <c r="BI14" s="10">
        <v>3.2</v>
      </c>
      <c r="BJ14" s="10">
        <v>3.09</v>
      </c>
      <c r="BK14" s="10">
        <v>3.71</v>
      </c>
      <c r="BL14" s="10">
        <v>3.18</v>
      </c>
    </row>
    <row r="15" spans="1:64" x14ac:dyDescent="0.25">
      <c r="A15" s="10">
        <v>3.53</v>
      </c>
      <c r="B15" s="10">
        <v>3.15</v>
      </c>
      <c r="C15" s="10">
        <v>3.6</v>
      </c>
      <c r="D15" s="10">
        <v>3.74</v>
      </c>
      <c r="E15" s="10">
        <v>5.37</v>
      </c>
      <c r="F15" s="10">
        <v>4.84</v>
      </c>
      <c r="G15" s="10">
        <v>5.05</v>
      </c>
      <c r="H15" s="10">
        <v>4.92</v>
      </c>
      <c r="I15" s="10">
        <v>3.9</v>
      </c>
      <c r="J15" s="10">
        <v>3.25</v>
      </c>
      <c r="K15" s="10">
        <v>3.36</v>
      </c>
      <c r="L15" s="10">
        <v>3.4</v>
      </c>
      <c r="M15" s="10">
        <v>3.5</v>
      </c>
      <c r="N15" s="10">
        <v>3.23</v>
      </c>
      <c r="O15" s="10">
        <v>3.28</v>
      </c>
      <c r="P15" s="10">
        <v>3.2</v>
      </c>
      <c r="Q15" s="10">
        <v>3.3</v>
      </c>
      <c r="R15" s="10">
        <v>3.55</v>
      </c>
      <c r="S15" s="10">
        <v>4.01</v>
      </c>
      <c r="T15" s="10">
        <v>3.88</v>
      </c>
      <c r="U15" s="10">
        <v>6.33</v>
      </c>
      <c r="V15" s="10">
        <v>5</v>
      </c>
      <c r="W15" s="10">
        <v>5.18</v>
      </c>
      <c r="X15" s="10">
        <v>5.35</v>
      </c>
      <c r="Y15" s="10">
        <v>4.08</v>
      </c>
      <c r="Z15" s="10">
        <v>3.13</v>
      </c>
      <c r="AA15" s="10">
        <v>4</v>
      </c>
      <c r="AB15" s="10">
        <v>4.13</v>
      </c>
      <c r="AC15" s="10">
        <v>3.08</v>
      </c>
      <c r="AD15" s="10">
        <v>3.69</v>
      </c>
      <c r="AE15" s="10">
        <v>3.7</v>
      </c>
      <c r="AF15" s="10">
        <v>4.1900000000000004</v>
      </c>
      <c r="AG15" s="10">
        <v>4.26</v>
      </c>
      <c r="AH15" s="10">
        <v>3</v>
      </c>
      <c r="AI15" s="10">
        <v>3.36</v>
      </c>
      <c r="AJ15" s="10">
        <v>4.1500000000000004</v>
      </c>
      <c r="AK15" s="10">
        <v>4.49</v>
      </c>
      <c r="AL15" s="10">
        <v>6.24</v>
      </c>
      <c r="AM15" s="10">
        <v>5.0199999999999996</v>
      </c>
      <c r="AN15" s="10">
        <v>4.13</v>
      </c>
      <c r="AO15" s="10">
        <v>3.47</v>
      </c>
      <c r="AP15" s="10">
        <v>4.0599999999999996</v>
      </c>
      <c r="AQ15" s="10">
        <v>3.42</v>
      </c>
      <c r="AR15" s="10">
        <v>3.5</v>
      </c>
      <c r="AS15" s="10">
        <v>4</v>
      </c>
      <c r="AT15" s="10">
        <v>3</v>
      </c>
      <c r="AU15" s="10">
        <v>4.45</v>
      </c>
      <c r="AV15" s="10">
        <v>3.74</v>
      </c>
      <c r="AW15" s="10">
        <v>3.91</v>
      </c>
      <c r="AX15" s="10">
        <v>4.03</v>
      </c>
      <c r="AY15" s="10">
        <v>3.96</v>
      </c>
      <c r="AZ15" s="10">
        <v>3.9</v>
      </c>
      <c r="BA15" s="10">
        <v>4.99</v>
      </c>
      <c r="BB15" s="10">
        <v>4.78</v>
      </c>
      <c r="BC15" s="10">
        <v>5.29</v>
      </c>
      <c r="BD15" s="10">
        <v>4.9000000000000004</v>
      </c>
      <c r="BE15" s="10">
        <v>4.07</v>
      </c>
      <c r="BF15" s="10">
        <v>3.63</v>
      </c>
      <c r="BG15" s="10">
        <v>3.71</v>
      </c>
      <c r="BH15" s="10">
        <v>3.8</v>
      </c>
      <c r="BI15" s="10">
        <v>3.51</v>
      </c>
      <c r="BJ15" s="10">
        <v>3.82</v>
      </c>
      <c r="BK15" s="10">
        <v>3.61</v>
      </c>
      <c r="BL15" s="10">
        <v>3.45</v>
      </c>
    </row>
    <row r="16" spans="1:64" x14ac:dyDescent="0.25">
      <c r="A16" s="10">
        <v>3.07</v>
      </c>
      <c r="B16" s="10">
        <v>4.18</v>
      </c>
      <c r="C16" s="10">
        <v>4.2300000000000004</v>
      </c>
      <c r="D16" s="10">
        <v>3.44</v>
      </c>
      <c r="E16" s="10">
        <v>5.1100000000000003</v>
      </c>
      <c r="F16" s="10">
        <v>4.84</v>
      </c>
      <c r="G16" s="10">
        <v>5.35</v>
      </c>
      <c r="H16" s="10">
        <v>5.57</v>
      </c>
      <c r="I16" s="10">
        <v>3.62</v>
      </c>
      <c r="J16" s="10">
        <v>4.08</v>
      </c>
      <c r="K16" s="10">
        <v>3.28</v>
      </c>
      <c r="L16" s="10">
        <v>4.05</v>
      </c>
      <c r="M16" s="10">
        <v>3.75</v>
      </c>
      <c r="N16" s="10">
        <v>2</v>
      </c>
      <c r="O16" s="10">
        <v>3.87</v>
      </c>
      <c r="P16" s="10">
        <v>3.02</v>
      </c>
      <c r="Q16" s="10">
        <v>3.6</v>
      </c>
      <c r="R16" s="10">
        <v>3.02</v>
      </c>
      <c r="S16" s="10">
        <v>3.9</v>
      </c>
      <c r="T16" s="10">
        <v>3.44</v>
      </c>
      <c r="U16" s="10">
        <v>5.21</v>
      </c>
      <c r="V16" s="10">
        <v>5.46</v>
      </c>
      <c r="W16" s="10">
        <v>4.67</v>
      </c>
      <c r="X16" s="10">
        <v>4.8499999999999996</v>
      </c>
      <c r="Y16" s="10">
        <v>3.54</v>
      </c>
      <c r="Z16" s="10">
        <v>3.38</v>
      </c>
      <c r="AA16" s="10">
        <v>3.6</v>
      </c>
      <c r="AB16" s="10">
        <v>3.17</v>
      </c>
      <c r="AC16" s="10">
        <v>3.8</v>
      </c>
      <c r="AD16" s="10">
        <v>3.3</v>
      </c>
      <c r="AE16" s="10">
        <v>3.55</v>
      </c>
      <c r="AF16" s="10">
        <v>3.62</v>
      </c>
      <c r="AG16" s="10">
        <v>3.89</v>
      </c>
      <c r="AH16" s="10">
        <v>3.9</v>
      </c>
      <c r="AI16" s="10">
        <v>3.73</v>
      </c>
      <c r="AJ16" s="10">
        <v>4.1399999999999997</v>
      </c>
      <c r="AK16" s="10">
        <v>5.25</v>
      </c>
      <c r="AL16" s="10">
        <v>5.34</v>
      </c>
      <c r="AM16" s="10">
        <v>4.91</v>
      </c>
      <c r="AN16" s="10">
        <v>5.68</v>
      </c>
      <c r="AO16" s="10">
        <v>3.48</v>
      </c>
      <c r="AP16" s="10">
        <v>5.08</v>
      </c>
      <c r="AQ16" s="10">
        <v>3.9</v>
      </c>
      <c r="AR16" s="10">
        <v>3.85</v>
      </c>
      <c r="AS16" s="10">
        <v>3.4</v>
      </c>
      <c r="AT16" s="10">
        <v>4.07</v>
      </c>
      <c r="AU16" s="10">
        <v>4.4400000000000004</v>
      </c>
      <c r="AV16" s="10">
        <v>3.35</v>
      </c>
      <c r="AW16" s="10">
        <v>3.69</v>
      </c>
      <c r="AX16" s="10">
        <v>3.46</v>
      </c>
      <c r="AY16" s="10">
        <v>3.75</v>
      </c>
      <c r="AZ16" s="10">
        <v>3.67</v>
      </c>
      <c r="BA16" s="10">
        <v>5.28</v>
      </c>
      <c r="BB16" s="10">
        <v>3.61</v>
      </c>
      <c r="BC16" s="10">
        <v>4.13</v>
      </c>
      <c r="BD16" s="10">
        <v>5.35</v>
      </c>
      <c r="BE16" s="10">
        <v>3.44</v>
      </c>
      <c r="BF16" s="10">
        <v>3.54</v>
      </c>
      <c r="BG16" s="10">
        <v>3.5</v>
      </c>
      <c r="BH16" s="10">
        <v>2.9</v>
      </c>
      <c r="BI16" s="10">
        <v>2</v>
      </c>
      <c r="BJ16" s="10">
        <v>2.82</v>
      </c>
      <c r="BK16" s="10">
        <v>3.13</v>
      </c>
      <c r="BL16" s="10">
        <v>3.56</v>
      </c>
    </row>
    <row r="17" spans="1:64" x14ac:dyDescent="0.25">
      <c r="A17" s="10">
        <v>2.1</v>
      </c>
      <c r="B17" s="10">
        <v>3.72</v>
      </c>
      <c r="C17" s="10">
        <v>3.65</v>
      </c>
      <c r="D17" s="10">
        <v>3.26</v>
      </c>
      <c r="E17" s="10">
        <v>4.97</v>
      </c>
      <c r="F17" s="10">
        <v>6.18</v>
      </c>
      <c r="G17" s="10">
        <v>4.93</v>
      </c>
      <c r="H17" s="10">
        <v>5.41</v>
      </c>
      <c r="I17" s="10">
        <v>4.0199999999999996</v>
      </c>
      <c r="J17" s="10">
        <v>3.57</v>
      </c>
      <c r="K17" s="10">
        <v>3.54</v>
      </c>
      <c r="L17" s="10">
        <v>3.55</v>
      </c>
      <c r="M17" s="10">
        <v>3.7</v>
      </c>
      <c r="N17" s="10">
        <v>4.05</v>
      </c>
      <c r="O17" s="10">
        <v>3</v>
      </c>
      <c r="P17" s="10">
        <v>2.6</v>
      </c>
      <c r="Q17" s="10">
        <v>3.94</v>
      </c>
      <c r="R17" s="10">
        <v>3.9</v>
      </c>
      <c r="S17" s="10">
        <v>3.66</v>
      </c>
      <c r="T17" s="10">
        <v>3.5</v>
      </c>
      <c r="U17" s="10">
        <v>4.8</v>
      </c>
      <c r="V17" s="10">
        <v>4.5599999999999996</v>
      </c>
      <c r="W17" s="10">
        <v>4.8499999999999996</v>
      </c>
      <c r="X17" s="10">
        <v>5</v>
      </c>
      <c r="Y17" s="10">
        <v>3.6</v>
      </c>
      <c r="Z17" s="10">
        <v>3.62</v>
      </c>
      <c r="AA17" s="10">
        <v>3.76</v>
      </c>
      <c r="AB17" s="10">
        <v>4.42</v>
      </c>
      <c r="AC17" s="10">
        <v>4.12</v>
      </c>
      <c r="AD17" s="10">
        <v>4</v>
      </c>
      <c r="AE17" s="10">
        <v>4</v>
      </c>
      <c r="AF17" s="10">
        <v>3.9</v>
      </c>
      <c r="AG17" s="10">
        <v>3.9</v>
      </c>
      <c r="AH17" s="10">
        <v>3.64</v>
      </c>
      <c r="AI17" s="10">
        <v>3.73</v>
      </c>
      <c r="AJ17" s="10">
        <v>3.58</v>
      </c>
      <c r="AK17" s="10">
        <v>4.51</v>
      </c>
      <c r="AL17" s="10">
        <v>4.79</v>
      </c>
      <c r="AM17" s="10">
        <v>5.03</v>
      </c>
      <c r="AN17" s="10">
        <v>4.84</v>
      </c>
      <c r="AO17" s="10">
        <v>3.58</v>
      </c>
      <c r="AP17" s="10">
        <v>3.62</v>
      </c>
      <c r="AQ17" s="10">
        <v>3.37</v>
      </c>
      <c r="AR17" s="10">
        <v>3.15</v>
      </c>
      <c r="AS17" s="10">
        <v>3.73</v>
      </c>
      <c r="AT17" s="10">
        <v>3.32</v>
      </c>
      <c r="AU17" s="10">
        <v>4</v>
      </c>
      <c r="AV17" s="10">
        <v>3.9</v>
      </c>
      <c r="AW17" s="10">
        <v>2.89</v>
      </c>
      <c r="AX17" s="10">
        <v>4.34</v>
      </c>
      <c r="AY17" s="10">
        <v>3.9</v>
      </c>
      <c r="AZ17" s="10">
        <v>3.43</v>
      </c>
      <c r="BA17" s="10">
        <v>5.61</v>
      </c>
      <c r="BB17" s="10">
        <v>4.45</v>
      </c>
      <c r="BC17" s="10">
        <v>5</v>
      </c>
      <c r="BD17" s="10">
        <v>5.71</v>
      </c>
      <c r="BE17" s="10">
        <v>4.05</v>
      </c>
      <c r="BF17" s="10">
        <v>3.96</v>
      </c>
      <c r="BG17" s="10">
        <v>3.37</v>
      </c>
      <c r="BH17" s="10">
        <v>3.92</v>
      </c>
      <c r="BI17" s="10">
        <v>3.62</v>
      </c>
      <c r="BJ17" s="10">
        <v>3.9</v>
      </c>
      <c r="BK17" s="10">
        <v>4.08</v>
      </c>
      <c r="BL17" s="10">
        <v>3.9</v>
      </c>
    </row>
    <row r="20" spans="1:64" ht="15.75" x14ac:dyDescent="0.25">
      <c r="A20" s="3" t="s">
        <v>99</v>
      </c>
      <c r="B20" s="11" t="s">
        <v>95</v>
      </c>
      <c r="C20" s="11" t="s">
        <v>96</v>
      </c>
      <c r="D20" s="11" t="s">
        <v>97</v>
      </c>
      <c r="E20" s="11" t="s">
        <v>98</v>
      </c>
      <c r="G20" s="31" t="s">
        <v>105</v>
      </c>
      <c r="O20" s="4" t="s">
        <v>157</v>
      </c>
    </row>
    <row r="21" spans="1:64" x14ac:dyDescent="0.25">
      <c r="A21" s="68" t="s">
        <v>72</v>
      </c>
      <c r="B21" s="7" cm="1">
        <f t="array" ref="B21:B35">A3:A17</f>
        <v>2</v>
      </c>
      <c r="C21" s="7" cm="1">
        <f t="array" ref="C21:C35">Q3:Q17</f>
        <v>3.9</v>
      </c>
      <c r="D21" s="7" cm="1">
        <f t="array" ref="D21:D35">AG3:AG17</f>
        <v>3.65</v>
      </c>
      <c r="E21" s="7" cm="1">
        <f t="array" ref="E21:E35">AW3:AW17</f>
        <v>3</v>
      </c>
      <c r="O21" s="14" t="s">
        <v>71</v>
      </c>
      <c r="P21" s="14" t="s">
        <v>100</v>
      </c>
      <c r="Q21" s="14" t="s">
        <v>91</v>
      </c>
    </row>
    <row r="22" spans="1:64" ht="15.75" thickBot="1" x14ac:dyDescent="0.3">
      <c r="A22" s="68"/>
      <c r="B22" s="7">
        <v>3.24</v>
      </c>
      <c r="C22" s="7">
        <v>3.9</v>
      </c>
      <c r="D22" s="7">
        <v>3.8</v>
      </c>
      <c r="E22" s="7">
        <v>3.98</v>
      </c>
      <c r="G22" s="4" t="s">
        <v>106</v>
      </c>
      <c r="O22" s="8" t="s">
        <v>12</v>
      </c>
      <c r="P22" s="7">
        <f>COUNTIF(B21:B260,"&gt;4")</f>
        <v>63</v>
      </c>
      <c r="Q22" s="9">
        <f>P22/$P$26</f>
        <v>0.21724137931034482</v>
      </c>
    </row>
    <row r="23" spans="1:64" x14ac:dyDescent="0.25">
      <c r="A23" s="68"/>
      <c r="B23" s="7">
        <v>3.89</v>
      </c>
      <c r="C23" s="7">
        <v>3.81</v>
      </c>
      <c r="D23" s="7">
        <v>3.92</v>
      </c>
      <c r="E23" s="7">
        <v>3.19</v>
      </c>
      <c r="G23" s="29" t="s">
        <v>107</v>
      </c>
      <c r="H23" s="29" t="s">
        <v>108</v>
      </c>
      <c r="I23" s="29" t="s">
        <v>109</v>
      </c>
      <c r="J23" s="29" t="s">
        <v>110</v>
      </c>
      <c r="K23" s="29" t="s">
        <v>111</v>
      </c>
      <c r="O23" s="8" t="s">
        <v>7</v>
      </c>
      <c r="P23" s="7">
        <f>COUNTIF(C21:C260,"&gt;4")</f>
        <v>71</v>
      </c>
      <c r="Q23" s="9">
        <f t="shared" ref="Q23:Q25" si="0">P23/$P$26</f>
        <v>0.24482758620689654</v>
      </c>
    </row>
    <row r="24" spans="1:64" x14ac:dyDescent="0.25">
      <c r="A24" s="68"/>
      <c r="B24" s="7">
        <v>3.15</v>
      </c>
      <c r="C24" s="7">
        <v>4.42</v>
      </c>
      <c r="D24" s="7">
        <v>4</v>
      </c>
      <c r="E24" s="7">
        <v>3.4</v>
      </c>
      <c r="G24" s="27" t="s">
        <v>95</v>
      </c>
      <c r="H24" s="27">
        <v>240</v>
      </c>
      <c r="I24" s="27">
        <v>907.92999999999972</v>
      </c>
      <c r="J24" s="34">
        <v>3.7830416666666653</v>
      </c>
      <c r="K24" s="34">
        <v>0.50152669281729789</v>
      </c>
      <c r="O24" s="8" t="s">
        <v>18</v>
      </c>
      <c r="P24" s="7">
        <f>COUNTIF(D21:D260,"&gt;4")</f>
        <v>93</v>
      </c>
      <c r="Q24" s="9">
        <f t="shared" si="0"/>
        <v>0.32068965517241377</v>
      </c>
    </row>
    <row r="25" spans="1:64" x14ac:dyDescent="0.25">
      <c r="A25" s="68"/>
      <c r="B25" s="7">
        <v>3.54</v>
      </c>
      <c r="C25" s="7">
        <v>3.01</v>
      </c>
      <c r="D25" s="7">
        <v>3.69</v>
      </c>
      <c r="E25" s="7">
        <v>2.79</v>
      </c>
      <c r="G25" s="27" t="s">
        <v>96</v>
      </c>
      <c r="H25" s="27">
        <v>240</v>
      </c>
      <c r="I25" s="27">
        <v>931.43</v>
      </c>
      <c r="J25" s="34">
        <v>3.8809583333333331</v>
      </c>
      <c r="K25" s="34">
        <v>0.52190242503486517</v>
      </c>
      <c r="O25" s="8" t="s">
        <v>2</v>
      </c>
      <c r="P25" s="7">
        <f>COUNTIF(E21:E260,"&gt;4")</f>
        <v>63</v>
      </c>
      <c r="Q25" s="9">
        <f t="shared" si="0"/>
        <v>0.21724137931034482</v>
      </c>
    </row>
    <row r="26" spans="1:64" x14ac:dyDescent="0.25">
      <c r="A26" s="68"/>
      <c r="B26" s="7">
        <v>4.0599999999999996</v>
      </c>
      <c r="C26" s="7">
        <v>3.62</v>
      </c>
      <c r="D26" s="7">
        <v>4.42</v>
      </c>
      <c r="E26" s="7">
        <v>4.0199999999999996</v>
      </c>
      <c r="G26" s="27" t="s">
        <v>97</v>
      </c>
      <c r="H26" s="27">
        <v>240</v>
      </c>
      <c r="I26" s="27">
        <v>962.01000000000045</v>
      </c>
      <c r="J26" s="34">
        <v>4.0083750000000018</v>
      </c>
      <c r="K26" s="34">
        <v>0.61797684623429616</v>
      </c>
      <c r="O26" s="56" t="s">
        <v>122</v>
      </c>
      <c r="P26" s="7">
        <f>SUM(P22:P25)</f>
        <v>290</v>
      </c>
      <c r="Q26" s="9">
        <f>SUM(Q22:Q25)</f>
        <v>0.99999999999999989</v>
      </c>
    </row>
    <row r="27" spans="1:64" ht="15.75" thickBot="1" x14ac:dyDescent="0.3">
      <c r="A27" s="68"/>
      <c r="B27" s="7">
        <v>3.15</v>
      </c>
      <c r="C27" s="7">
        <v>3.84</v>
      </c>
      <c r="D27" s="7">
        <v>3.6</v>
      </c>
      <c r="E27" s="7">
        <v>3.95</v>
      </c>
      <c r="G27" s="28" t="s">
        <v>98</v>
      </c>
      <c r="H27" s="28">
        <v>240</v>
      </c>
      <c r="I27" s="28">
        <v>919.21000000000038</v>
      </c>
      <c r="J27" s="35">
        <v>3.8300416666666681</v>
      </c>
      <c r="K27" s="35">
        <v>0.50338702754530751</v>
      </c>
    </row>
    <row r="28" spans="1:64" ht="15.75" thickBot="1" x14ac:dyDescent="0.3">
      <c r="A28" s="68"/>
      <c r="B28" s="7">
        <v>3.49</v>
      </c>
      <c r="C28" s="7">
        <v>3.75</v>
      </c>
      <c r="D28" s="7">
        <v>3.87</v>
      </c>
      <c r="E28" s="7">
        <v>2.92</v>
      </c>
      <c r="O28" s="4" t="s">
        <v>158</v>
      </c>
    </row>
    <row r="29" spans="1:64" x14ac:dyDescent="0.25">
      <c r="A29" s="68"/>
      <c r="B29" s="7">
        <v>3.4</v>
      </c>
      <c r="C29" s="7">
        <v>3.38</v>
      </c>
      <c r="D29" s="7">
        <v>3.27</v>
      </c>
      <c r="E29" s="7">
        <v>3.79</v>
      </c>
      <c r="O29" s="69" t="s">
        <v>95</v>
      </c>
      <c r="P29" s="57" t="s">
        <v>93</v>
      </c>
      <c r="Q29" s="58">
        <f>(4-2)/(6*_xlfn.STDEV.S(B21:B260))</f>
        <v>0.4706864748307471</v>
      </c>
    </row>
    <row r="30" spans="1:64" ht="15.75" thickBot="1" x14ac:dyDescent="0.3">
      <c r="A30" s="68"/>
      <c r="B30" s="7">
        <v>3.29</v>
      </c>
      <c r="C30" s="7">
        <v>3.43</v>
      </c>
      <c r="D30" s="7">
        <v>3.92</v>
      </c>
      <c r="E30" s="7">
        <v>3.02</v>
      </c>
      <c r="G30" t="s">
        <v>112</v>
      </c>
      <c r="O30" s="70"/>
      <c r="P30" s="7" t="s">
        <v>94</v>
      </c>
      <c r="Q30" s="59">
        <f>MIN((4-AVERAGE(B21:B260))/(3*_xlfn.STDEV.S(B21:B260)),(AVERAGE(B21:B260)-2)/(3*_xlfn.STDEV.S(B21:B260)))</f>
        <v>0.10211935310182148</v>
      </c>
    </row>
    <row r="31" spans="1:64" x14ac:dyDescent="0.25">
      <c r="A31" s="68"/>
      <c r="B31" s="7">
        <v>3.33</v>
      </c>
      <c r="C31" s="7">
        <v>3.59</v>
      </c>
      <c r="D31" s="7">
        <v>4</v>
      </c>
      <c r="E31" s="7">
        <v>3.34</v>
      </c>
      <c r="G31" s="29" t="s">
        <v>113</v>
      </c>
      <c r="H31" s="29" t="s">
        <v>114</v>
      </c>
      <c r="I31" s="29" t="s">
        <v>115</v>
      </c>
      <c r="J31" s="29" t="s">
        <v>116</v>
      </c>
      <c r="K31" s="29" t="s">
        <v>117</v>
      </c>
      <c r="L31" s="29" t="s">
        <v>118</v>
      </c>
      <c r="M31" s="29" t="s">
        <v>119</v>
      </c>
      <c r="O31" s="70" t="s">
        <v>96</v>
      </c>
      <c r="P31" s="7" t="s">
        <v>93</v>
      </c>
      <c r="Q31" s="59">
        <f>(4-2)/(6*_xlfn.STDEV.S(C21:C260))</f>
        <v>0.46140690327424733</v>
      </c>
    </row>
    <row r="32" spans="1:64" x14ac:dyDescent="0.25">
      <c r="A32" s="68"/>
      <c r="B32" s="7">
        <v>3.19</v>
      </c>
      <c r="C32" s="7">
        <v>2.88</v>
      </c>
      <c r="D32" s="7">
        <v>3.62</v>
      </c>
      <c r="E32" s="7">
        <v>3.53</v>
      </c>
      <c r="G32" s="27" t="s">
        <v>120</v>
      </c>
      <c r="H32" s="34">
        <v>6.7921245833330204</v>
      </c>
      <c r="I32" s="27">
        <v>3</v>
      </c>
      <c r="J32" s="33">
        <v>2.2640415277776733</v>
      </c>
      <c r="K32" s="33">
        <v>4.2223963554732586</v>
      </c>
      <c r="L32" s="32">
        <v>5.6111127611238737E-3</v>
      </c>
      <c r="M32" s="33">
        <v>2.6142138283692344</v>
      </c>
      <c r="O32" s="70"/>
      <c r="P32" s="7" t="s">
        <v>94</v>
      </c>
      <c r="Q32" s="59">
        <f>MIN((4-AVERAGE(C21:C260))/(3*_xlfn.STDEV.S(C21:C260)),(AVERAGE(C21:C260)-2)/(3*_xlfn.STDEV.S(C21:C260)))</f>
        <v>5.4926646777271979E-2</v>
      </c>
    </row>
    <row r="33" spans="1:17" x14ac:dyDescent="0.25">
      <c r="A33" s="68"/>
      <c r="B33" s="7">
        <v>3.53</v>
      </c>
      <c r="C33" s="7">
        <v>3.3</v>
      </c>
      <c r="D33" s="7">
        <v>4.26</v>
      </c>
      <c r="E33" s="7">
        <v>3.91</v>
      </c>
      <c r="G33" s="27" t="s">
        <v>121</v>
      </c>
      <c r="H33" s="34">
        <v>512.60552499999994</v>
      </c>
      <c r="I33" s="27">
        <v>956</v>
      </c>
      <c r="J33" s="33">
        <v>0.53619824790794968</v>
      </c>
      <c r="K33" s="33"/>
      <c r="L33" s="33"/>
      <c r="M33" s="33"/>
      <c r="O33" s="70" t="s">
        <v>97</v>
      </c>
      <c r="P33" s="7" t="s">
        <v>93</v>
      </c>
      <c r="Q33" s="59">
        <f>(4-2)/(6*_xlfn.STDEV.S(D21:D260))</f>
        <v>0.4240261527090447</v>
      </c>
    </row>
    <row r="34" spans="1:17" x14ac:dyDescent="0.25">
      <c r="A34" s="68"/>
      <c r="B34" s="7">
        <v>3.07</v>
      </c>
      <c r="C34" s="7">
        <v>3.6</v>
      </c>
      <c r="D34" s="7">
        <v>3.89</v>
      </c>
      <c r="E34" s="7">
        <v>3.69</v>
      </c>
      <c r="G34" s="27"/>
      <c r="H34" s="34"/>
      <c r="I34" s="27"/>
      <c r="J34" s="27"/>
      <c r="K34" s="27"/>
      <c r="L34" s="27"/>
      <c r="M34" s="27"/>
      <c r="O34" s="70"/>
      <c r="P34" s="7" t="s">
        <v>94</v>
      </c>
      <c r="Q34" s="59">
        <f>MIN((4-AVERAGE(D21:D260))/(3*_xlfn.STDEV.S(D21:D260)),(AVERAGE(D21:D260)-2)/(3*_xlfn.STDEV.S(D21:D260)))</f>
        <v>-3.5512190289390118E-3</v>
      </c>
    </row>
    <row r="35" spans="1:17" ht="15.75" thickBot="1" x14ac:dyDescent="0.3">
      <c r="A35" s="68"/>
      <c r="B35" s="7">
        <v>2.1</v>
      </c>
      <c r="C35" s="7">
        <v>3.94</v>
      </c>
      <c r="D35" s="7">
        <v>3.9</v>
      </c>
      <c r="E35" s="7">
        <v>2.89</v>
      </c>
      <c r="G35" s="28" t="s">
        <v>122</v>
      </c>
      <c r="H35" s="35">
        <v>519.39764958333296</v>
      </c>
      <c r="I35" s="28">
        <v>959</v>
      </c>
      <c r="J35" s="28"/>
      <c r="K35" s="28"/>
      <c r="L35" s="28"/>
      <c r="M35" s="28"/>
      <c r="O35" s="70" t="s">
        <v>98</v>
      </c>
      <c r="P35" s="7" t="s">
        <v>93</v>
      </c>
      <c r="Q35" s="59">
        <f>(4-2)/(6*_xlfn.STDEV.S(E21:E260))</f>
        <v>0.46981592706946718</v>
      </c>
    </row>
    <row r="36" spans="1:17" ht="15.75" thickBot="1" x14ac:dyDescent="0.3">
      <c r="A36" s="68" t="s">
        <v>73</v>
      </c>
      <c r="B36" s="7" cm="1">
        <f t="array" ref="B36:B50">B3:B17</f>
        <v>3.34</v>
      </c>
      <c r="C36" s="7" cm="1">
        <f t="array" ref="C36:C50">R3:R17</f>
        <v>3.71</v>
      </c>
      <c r="D36" s="7" cm="1">
        <f t="array" ref="D36:D50">AH3:AH17</f>
        <v>3.65</v>
      </c>
      <c r="E36" s="7" cm="1">
        <f t="array" ref="E36:E50">AX3:AX17</f>
        <v>3.49</v>
      </c>
      <c r="O36" s="71"/>
      <c r="P36" s="41" t="s">
        <v>94</v>
      </c>
      <c r="Q36" s="60">
        <f>MIN((4-AVERAGE(E21:E260))/(3*_xlfn.STDEV.S(E21:E260)),(AVERAGE(E21:E260)-2)/(3*_xlfn.STDEV.S(E21:E260)))</f>
        <v>7.9849131938180842E-2</v>
      </c>
    </row>
    <row r="37" spans="1:17" x14ac:dyDescent="0.25">
      <c r="A37" s="68"/>
      <c r="B37" s="7">
        <v>2</v>
      </c>
      <c r="C37" s="7">
        <v>3.75</v>
      </c>
      <c r="D37" s="7">
        <v>4.7300000000000004</v>
      </c>
      <c r="E37" s="7">
        <v>2.1</v>
      </c>
      <c r="G37" t="s">
        <v>123</v>
      </c>
    </row>
    <row r="38" spans="1:17" x14ac:dyDescent="0.25">
      <c r="A38" s="68"/>
      <c r="B38" s="7">
        <v>3.62</v>
      </c>
      <c r="C38" s="7">
        <v>3.9</v>
      </c>
      <c r="D38" s="7">
        <v>3.8</v>
      </c>
      <c r="E38" s="7">
        <v>3.5</v>
      </c>
      <c r="G38" t="s">
        <v>124</v>
      </c>
    </row>
    <row r="39" spans="1:17" x14ac:dyDescent="0.25">
      <c r="A39" s="68"/>
      <c r="B39" s="7">
        <v>3.61</v>
      </c>
      <c r="C39" s="7">
        <v>4</v>
      </c>
      <c r="D39" s="7">
        <v>3.62</v>
      </c>
      <c r="E39" s="7">
        <v>3.19</v>
      </c>
      <c r="G39" t="s">
        <v>125</v>
      </c>
    </row>
    <row r="40" spans="1:17" x14ac:dyDescent="0.25">
      <c r="A40" s="68"/>
      <c r="B40" s="7">
        <v>3.61</v>
      </c>
      <c r="C40" s="7">
        <v>3.42</v>
      </c>
      <c r="D40" s="7">
        <v>3.75</v>
      </c>
      <c r="E40" s="7">
        <v>3.55</v>
      </c>
    </row>
    <row r="41" spans="1:17" ht="15.75" thickBot="1" x14ac:dyDescent="0.3">
      <c r="A41" s="68"/>
      <c r="B41" s="7">
        <v>3.71</v>
      </c>
      <c r="C41" s="7">
        <v>3.38</v>
      </c>
      <c r="D41" s="7">
        <v>3.7</v>
      </c>
      <c r="E41" s="7">
        <v>4.1900000000000004</v>
      </c>
    </row>
    <row r="42" spans="1:17" x14ac:dyDescent="0.25">
      <c r="A42" s="68"/>
      <c r="B42" s="7">
        <v>3.9</v>
      </c>
      <c r="C42" s="7">
        <v>3.2</v>
      </c>
      <c r="D42" s="7">
        <v>2.98</v>
      </c>
      <c r="E42" s="7">
        <v>3.6</v>
      </c>
      <c r="G42" s="72" t="s">
        <v>95</v>
      </c>
      <c r="H42" s="73"/>
      <c r="I42" s="72" t="s">
        <v>96</v>
      </c>
      <c r="J42" s="73"/>
      <c r="K42" s="72" t="s">
        <v>97</v>
      </c>
      <c r="L42" s="73"/>
      <c r="M42" s="72" t="s">
        <v>98</v>
      </c>
      <c r="N42" s="73"/>
    </row>
    <row r="43" spans="1:17" x14ac:dyDescent="0.25">
      <c r="A43" s="68"/>
      <c r="B43" s="7">
        <v>3.5</v>
      </c>
      <c r="C43" s="7">
        <v>3.11</v>
      </c>
      <c r="D43" s="7">
        <v>3.75</v>
      </c>
      <c r="E43" s="7">
        <v>3.14</v>
      </c>
      <c r="G43" s="61"/>
      <c r="H43" s="62"/>
      <c r="I43" s="61"/>
      <c r="J43" s="62"/>
      <c r="K43" s="61"/>
      <c r="L43" s="62"/>
      <c r="M43" s="66"/>
      <c r="N43" s="62"/>
    </row>
    <row r="44" spans="1:17" x14ac:dyDescent="0.25">
      <c r="A44" s="68"/>
      <c r="B44" s="7">
        <v>3.39</v>
      </c>
      <c r="C44" s="7">
        <v>3.62</v>
      </c>
      <c r="D44" s="7">
        <v>3.61</v>
      </c>
      <c r="E44" s="7">
        <v>3.76</v>
      </c>
      <c r="G44" s="61" t="s">
        <v>89</v>
      </c>
      <c r="H44" s="63">
        <v>3.7830416666666653</v>
      </c>
      <c r="I44" s="61" t="s">
        <v>89</v>
      </c>
      <c r="J44" s="63">
        <v>3.8809583333333331</v>
      </c>
      <c r="K44" s="61" t="s">
        <v>89</v>
      </c>
      <c r="L44" s="63">
        <v>4.0083750000000018</v>
      </c>
      <c r="M44" s="66" t="s">
        <v>89</v>
      </c>
      <c r="N44" s="63">
        <v>3.8300416666666681</v>
      </c>
    </row>
    <row r="45" spans="1:17" x14ac:dyDescent="0.25">
      <c r="A45" s="68"/>
      <c r="B45" s="7">
        <v>3.79</v>
      </c>
      <c r="C45" s="7">
        <v>3.55</v>
      </c>
      <c r="D45" s="7">
        <v>2.84</v>
      </c>
      <c r="E45" s="7">
        <v>3.12</v>
      </c>
      <c r="G45" s="61" t="s">
        <v>148</v>
      </c>
      <c r="H45" s="63">
        <v>4.5713177021570135E-2</v>
      </c>
      <c r="I45" s="61" t="s">
        <v>148</v>
      </c>
      <c r="J45" s="63">
        <v>4.6632536255765362E-2</v>
      </c>
      <c r="K45" s="61" t="s">
        <v>148</v>
      </c>
      <c r="L45" s="63">
        <v>5.0743507229755354E-2</v>
      </c>
      <c r="M45" s="66" t="s">
        <v>148</v>
      </c>
      <c r="N45" s="63">
        <v>4.5797881480538462E-2</v>
      </c>
    </row>
    <row r="46" spans="1:17" x14ac:dyDescent="0.25">
      <c r="A46" s="68"/>
      <c r="B46" s="7">
        <v>3.21</v>
      </c>
      <c r="C46" s="7">
        <v>3.33</v>
      </c>
      <c r="D46" s="7">
        <v>3.2</v>
      </c>
      <c r="E46" s="7">
        <v>3.98</v>
      </c>
      <c r="G46" s="61" t="s">
        <v>149</v>
      </c>
      <c r="H46" s="63">
        <v>3.62</v>
      </c>
      <c r="I46" s="61" t="s">
        <v>149</v>
      </c>
      <c r="J46" s="63">
        <v>3.69</v>
      </c>
      <c r="K46" s="61" t="s">
        <v>149</v>
      </c>
      <c r="L46" s="63">
        <v>3.81</v>
      </c>
      <c r="M46" s="66" t="s">
        <v>149</v>
      </c>
      <c r="N46" s="63">
        <v>3.7050000000000001</v>
      </c>
    </row>
    <row r="47" spans="1:17" x14ac:dyDescent="0.25">
      <c r="A47" s="68"/>
      <c r="B47" s="7">
        <v>3.7</v>
      </c>
      <c r="C47" s="7">
        <v>3.77</v>
      </c>
      <c r="D47" s="7">
        <v>2.99</v>
      </c>
      <c r="E47" s="7">
        <v>3.48</v>
      </c>
      <c r="G47" s="61" t="s">
        <v>150</v>
      </c>
      <c r="H47" s="63">
        <v>3.9</v>
      </c>
      <c r="I47" s="61" t="s">
        <v>150</v>
      </c>
      <c r="J47" s="63">
        <v>3.9</v>
      </c>
      <c r="K47" s="61" t="s">
        <v>150</v>
      </c>
      <c r="L47" s="63">
        <v>3</v>
      </c>
      <c r="M47" s="66" t="s">
        <v>150</v>
      </c>
      <c r="N47" s="63">
        <v>3.9</v>
      </c>
    </row>
    <row r="48" spans="1:17" x14ac:dyDescent="0.25">
      <c r="A48" s="68"/>
      <c r="B48" s="7">
        <v>3.15</v>
      </c>
      <c r="C48" s="7">
        <v>3.55</v>
      </c>
      <c r="D48" s="7">
        <v>3</v>
      </c>
      <c r="E48" s="7">
        <v>4.03</v>
      </c>
      <c r="G48" s="61" t="s">
        <v>90</v>
      </c>
      <c r="H48" s="63">
        <v>0.70818549322709079</v>
      </c>
      <c r="I48" s="61" t="s">
        <v>90</v>
      </c>
      <c r="J48" s="63">
        <v>0.72242814523997134</v>
      </c>
      <c r="K48" s="61" t="s">
        <v>90</v>
      </c>
      <c r="L48" s="63">
        <v>0.78611503371599256</v>
      </c>
      <c r="M48" s="66" t="s">
        <v>90</v>
      </c>
      <c r="N48" s="63">
        <v>0.70949772906282615</v>
      </c>
    </row>
    <row r="49" spans="1:14" x14ac:dyDescent="0.25">
      <c r="A49" s="68"/>
      <c r="B49" s="7">
        <v>4.18</v>
      </c>
      <c r="C49" s="7">
        <v>3.02</v>
      </c>
      <c r="D49" s="7">
        <v>3.9</v>
      </c>
      <c r="E49" s="7">
        <v>3.46</v>
      </c>
      <c r="G49" s="61" t="s">
        <v>151</v>
      </c>
      <c r="H49" s="63">
        <v>0.50152669281729789</v>
      </c>
      <c r="I49" s="61" t="s">
        <v>151</v>
      </c>
      <c r="J49" s="63">
        <v>0.52190242503486517</v>
      </c>
      <c r="K49" s="61" t="s">
        <v>151</v>
      </c>
      <c r="L49" s="63">
        <v>0.61797684623429616</v>
      </c>
      <c r="M49" s="66" t="s">
        <v>151</v>
      </c>
      <c r="N49" s="63">
        <v>0.50338702754530751</v>
      </c>
    </row>
    <row r="50" spans="1:14" x14ac:dyDescent="0.25">
      <c r="A50" s="68"/>
      <c r="B50" s="7">
        <v>3.72</v>
      </c>
      <c r="C50" s="7">
        <v>3.9</v>
      </c>
      <c r="D50" s="7">
        <v>3.64</v>
      </c>
      <c r="E50" s="7">
        <v>4.34</v>
      </c>
      <c r="G50" s="61" t="s">
        <v>152</v>
      </c>
      <c r="H50" s="63">
        <v>1.1081538841980181</v>
      </c>
      <c r="I50" s="61" t="s">
        <v>152</v>
      </c>
      <c r="J50" s="63">
        <v>2.8868433816146335</v>
      </c>
      <c r="K50" s="61" t="s">
        <v>152</v>
      </c>
      <c r="L50" s="63">
        <v>0.8037570650699366</v>
      </c>
      <c r="M50" s="66" t="s">
        <v>152</v>
      </c>
      <c r="N50" s="63">
        <v>1.3322859717608613</v>
      </c>
    </row>
    <row r="51" spans="1:14" x14ac:dyDescent="0.25">
      <c r="A51" s="68" t="s">
        <v>74</v>
      </c>
      <c r="B51" s="7" cm="1">
        <f t="array" ref="B51:B65">C3:C17</f>
        <v>2.91</v>
      </c>
      <c r="C51" s="7" cm="1">
        <f t="array" ref="C51:C65">S3:S17</f>
        <v>3.4</v>
      </c>
      <c r="D51" s="7" cm="1">
        <f t="array" ref="D51:D65">AI3:AI17</f>
        <v>2</v>
      </c>
      <c r="E51" s="7" cm="1">
        <f t="array" ref="E51:E65">AY3:AY17</f>
        <v>3.45</v>
      </c>
      <c r="G51" s="61" t="s">
        <v>153</v>
      </c>
      <c r="H51" s="63">
        <v>0.87086617532027089</v>
      </c>
      <c r="I51" s="61" t="s">
        <v>153</v>
      </c>
      <c r="J51" s="63">
        <v>1.3214776685935876</v>
      </c>
      <c r="K51" s="61" t="s">
        <v>153</v>
      </c>
      <c r="L51" s="63">
        <v>0.84214331333511616</v>
      </c>
      <c r="M51" s="66" t="s">
        <v>153</v>
      </c>
      <c r="N51" s="63">
        <v>1.0237590430009997</v>
      </c>
    </row>
    <row r="52" spans="1:14" x14ac:dyDescent="0.25">
      <c r="A52" s="68"/>
      <c r="B52" s="7">
        <v>3.92</v>
      </c>
      <c r="C52" s="7">
        <v>3.38</v>
      </c>
      <c r="D52" s="7">
        <v>2</v>
      </c>
      <c r="E52" s="7">
        <v>3.39</v>
      </c>
      <c r="G52" s="61" t="s">
        <v>154</v>
      </c>
      <c r="H52" s="63">
        <v>4.18</v>
      </c>
      <c r="I52" s="61" t="s">
        <v>154</v>
      </c>
      <c r="J52" s="63">
        <v>5.63</v>
      </c>
      <c r="K52" s="61" t="s">
        <v>154</v>
      </c>
      <c r="L52" s="63">
        <v>4.5</v>
      </c>
      <c r="M52" s="66" t="s">
        <v>154</v>
      </c>
      <c r="N52" s="63">
        <v>4.3099999999999996</v>
      </c>
    </row>
    <row r="53" spans="1:14" x14ac:dyDescent="0.25">
      <c r="A53" s="68"/>
      <c r="B53" s="7">
        <v>3.9</v>
      </c>
      <c r="C53" s="7">
        <v>3.56</v>
      </c>
      <c r="D53" s="7">
        <v>3.68</v>
      </c>
      <c r="E53" s="7">
        <v>2.99</v>
      </c>
      <c r="G53" s="61" t="s">
        <v>155</v>
      </c>
      <c r="H53" s="63">
        <v>2</v>
      </c>
      <c r="I53" s="61" t="s">
        <v>155</v>
      </c>
      <c r="J53" s="63">
        <v>2</v>
      </c>
      <c r="K53" s="61" t="s">
        <v>155</v>
      </c>
      <c r="L53" s="63">
        <v>2</v>
      </c>
      <c r="M53" s="66" t="s">
        <v>155</v>
      </c>
      <c r="N53" s="63">
        <v>2</v>
      </c>
    </row>
    <row r="54" spans="1:14" x14ac:dyDescent="0.25">
      <c r="A54" s="68"/>
      <c r="B54" s="7">
        <v>3.25</v>
      </c>
      <c r="C54" s="7">
        <v>3.91</v>
      </c>
      <c r="D54" s="7">
        <v>3.27</v>
      </c>
      <c r="E54" s="7">
        <v>3.17</v>
      </c>
      <c r="G54" s="61" t="s">
        <v>156</v>
      </c>
      <c r="H54" s="63">
        <v>6.18</v>
      </c>
      <c r="I54" s="61" t="s">
        <v>156</v>
      </c>
      <c r="J54" s="63">
        <v>7.63</v>
      </c>
      <c r="K54" s="61" t="s">
        <v>156</v>
      </c>
      <c r="L54" s="63">
        <v>6.5</v>
      </c>
      <c r="M54" s="66" t="s">
        <v>156</v>
      </c>
      <c r="N54" s="63">
        <v>6.31</v>
      </c>
    </row>
    <row r="55" spans="1:14" x14ac:dyDescent="0.25">
      <c r="A55" s="68"/>
      <c r="B55" s="7">
        <v>3.84</v>
      </c>
      <c r="C55" s="7">
        <v>3</v>
      </c>
      <c r="D55" s="7">
        <v>3.69</v>
      </c>
      <c r="E55" s="7">
        <v>3.64</v>
      </c>
      <c r="G55" s="61" t="s">
        <v>109</v>
      </c>
      <c r="H55" s="63">
        <v>907.92999999999972</v>
      </c>
      <c r="I55" s="61" t="s">
        <v>109</v>
      </c>
      <c r="J55" s="63">
        <v>931.43</v>
      </c>
      <c r="K55" s="61" t="s">
        <v>109</v>
      </c>
      <c r="L55" s="63">
        <v>962.01000000000045</v>
      </c>
      <c r="M55" s="66" t="s">
        <v>109</v>
      </c>
      <c r="N55" s="63">
        <v>919.21000000000038</v>
      </c>
    </row>
    <row r="56" spans="1:14" ht="15.75" thickBot="1" x14ac:dyDescent="0.3">
      <c r="A56" s="68"/>
      <c r="B56" s="7">
        <v>3.65</v>
      </c>
      <c r="C56" s="7">
        <v>3.26</v>
      </c>
      <c r="D56" s="7">
        <v>3.65</v>
      </c>
      <c r="E56" s="7">
        <v>3.67</v>
      </c>
      <c r="G56" s="64" t="s">
        <v>108</v>
      </c>
      <c r="H56" s="65">
        <v>240</v>
      </c>
      <c r="I56" s="64" t="s">
        <v>108</v>
      </c>
      <c r="J56" s="65">
        <v>240</v>
      </c>
      <c r="K56" s="64" t="s">
        <v>108</v>
      </c>
      <c r="L56" s="65">
        <v>240</v>
      </c>
      <c r="M56" s="67" t="s">
        <v>108</v>
      </c>
      <c r="N56" s="65">
        <v>240</v>
      </c>
    </row>
    <row r="57" spans="1:14" x14ac:dyDescent="0.25">
      <c r="A57" s="68"/>
      <c r="B57" s="7">
        <v>3.31</v>
      </c>
      <c r="C57" s="7">
        <v>3.62</v>
      </c>
      <c r="D57" s="7">
        <v>3.35</v>
      </c>
      <c r="E57" s="7">
        <v>3.88</v>
      </c>
    </row>
    <row r="58" spans="1:14" x14ac:dyDescent="0.25">
      <c r="A58" s="68"/>
      <c r="B58" s="7">
        <v>3.67</v>
      </c>
      <c r="C58" s="7">
        <v>3.97</v>
      </c>
      <c r="D58" s="7">
        <v>4.13</v>
      </c>
      <c r="E58" s="7">
        <v>3.38</v>
      </c>
    </row>
    <row r="59" spans="1:14" x14ac:dyDescent="0.25">
      <c r="A59" s="68"/>
      <c r="B59" s="7">
        <v>3.9</v>
      </c>
      <c r="C59" s="7">
        <v>3.2</v>
      </c>
      <c r="D59" s="7">
        <v>3.55</v>
      </c>
      <c r="E59" s="7">
        <v>3.58</v>
      </c>
    </row>
    <row r="60" spans="1:14" x14ac:dyDescent="0.25">
      <c r="A60" s="68"/>
      <c r="B60" s="7">
        <v>3.54</v>
      </c>
      <c r="C60" s="7">
        <v>3.44</v>
      </c>
      <c r="D60" s="7">
        <v>3.8</v>
      </c>
      <c r="E60" s="7">
        <v>3.13</v>
      </c>
    </row>
    <row r="61" spans="1:14" x14ac:dyDescent="0.25">
      <c r="A61" s="68"/>
      <c r="B61" s="7">
        <v>3.63</v>
      </c>
      <c r="C61" s="7">
        <v>3.69</v>
      </c>
      <c r="D61" s="7">
        <v>4.05</v>
      </c>
      <c r="E61" s="7">
        <v>3.76</v>
      </c>
    </row>
    <row r="62" spans="1:14" x14ac:dyDescent="0.25">
      <c r="A62" s="68"/>
      <c r="B62" s="7">
        <v>3.48</v>
      </c>
      <c r="C62" s="7">
        <v>3.32</v>
      </c>
      <c r="D62" s="7">
        <v>3</v>
      </c>
      <c r="E62" s="7">
        <v>3.43</v>
      </c>
    </row>
    <row r="63" spans="1:14" x14ac:dyDescent="0.25">
      <c r="A63" s="68"/>
      <c r="B63" s="7">
        <v>3.6</v>
      </c>
      <c r="C63" s="7">
        <v>4.01</v>
      </c>
      <c r="D63" s="7">
        <v>3.36</v>
      </c>
      <c r="E63" s="7">
        <v>3.96</v>
      </c>
    </row>
    <row r="64" spans="1:14" x14ac:dyDescent="0.25">
      <c r="A64" s="68"/>
      <c r="B64" s="7">
        <v>4.2300000000000004</v>
      </c>
      <c r="C64" s="7">
        <v>3.9</v>
      </c>
      <c r="D64" s="7">
        <v>3.73</v>
      </c>
      <c r="E64" s="7">
        <v>3.75</v>
      </c>
    </row>
    <row r="65" spans="1:5" x14ac:dyDescent="0.25">
      <c r="A65" s="68"/>
      <c r="B65" s="7">
        <v>3.65</v>
      </c>
      <c r="C65" s="7">
        <v>3.66</v>
      </c>
      <c r="D65" s="7">
        <v>3.73</v>
      </c>
      <c r="E65" s="7">
        <v>3.9</v>
      </c>
    </row>
    <row r="66" spans="1:5" x14ac:dyDescent="0.25">
      <c r="A66" s="68" t="s">
        <v>75</v>
      </c>
      <c r="B66" s="7" cm="1">
        <f t="array" ref="B66:B80">D3:D17</f>
        <v>3.07</v>
      </c>
      <c r="C66" s="7" cm="1">
        <f t="array" ref="C66:C80">T3:T17</f>
        <v>3.81</v>
      </c>
      <c r="D66" s="7" cm="1">
        <f t="array" ref="D66:D80">AJ3:AJ17</f>
        <v>3.73</v>
      </c>
      <c r="E66" s="7" cm="1">
        <f t="array" ref="E66:E80">AZ3:AZ17</f>
        <v>3.49</v>
      </c>
    </row>
    <row r="67" spans="1:5" x14ac:dyDescent="0.25">
      <c r="A67" s="68"/>
      <c r="B67" s="7">
        <v>3.54</v>
      </c>
      <c r="C67" s="7">
        <v>3.38</v>
      </c>
      <c r="D67" s="7">
        <v>4.72</v>
      </c>
      <c r="E67" s="7">
        <v>3</v>
      </c>
    </row>
    <row r="68" spans="1:5" x14ac:dyDescent="0.25">
      <c r="A68" s="68"/>
      <c r="B68" s="7">
        <v>3.66</v>
      </c>
      <c r="C68" s="7">
        <v>3.86</v>
      </c>
      <c r="D68" s="7">
        <v>4.13</v>
      </c>
      <c r="E68" s="7">
        <v>3.73</v>
      </c>
    </row>
    <row r="69" spans="1:5" x14ac:dyDescent="0.25">
      <c r="A69" s="68"/>
      <c r="B69" s="7">
        <v>3.56</v>
      </c>
      <c r="C69" s="7">
        <v>4.26</v>
      </c>
      <c r="D69" s="7">
        <v>4.28</v>
      </c>
      <c r="E69" s="7">
        <v>3.9</v>
      </c>
    </row>
    <row r="70" spans="1:5" x14ac:dyDescent="0.25">
      <c r="A70" s="68"/>
      <c r="B70" s="7">
        <v>3.69</v>
      </c>
      <c r="C70" s="7">
        <v>2</v>
      </c>
      <c r="D70" s="7">
        <v>3.09</v>
      </c>
      <c r="E70" s="7">
        <v>3.8</v>
      </c>
    </row>
    <row r="71" spans="1:5" x14ac:dyDescent="0.25">
      <c r="A71" s="68"/>
      <c r="B71" s="7">
        <v>3.35</v>
      </c>
      <c r="C71" s="7">
        <v>3.26</v>
      </c>
      <c r="D71" s="7">
        <v>4.18</v>
      </c>
      <c r="E71" s="7">
        <v>3.8</v>
      </c>
    </row>
    <row r="72" spans="1:5" x14ac:dyDescent="0.25">
      <c r="A72" s="68"/>
      <c r="B72" s="7">
        <v>3.31</v>
      </c>
      <c r="C72" s="7">
        <v>3.52</v>
      </c>
      <c r="D72" s="7">
        <v>3.52</v>
      </c>
      <c r="E72" s="7">
        <v>3.1</v>
      </c>
    </row>
    <row r="73" spans="1:5" x14ac:dyDescent="0.25">
      <c r="A73" s="68"/>
      <c r="B73" s="7">
        <v>3.59</v>
      </c>
      <c r="C73" s="7">
        <v>3.66</v>
      </c>
      <c r="D73" s="7">
        <v>3.63</v>
      </c>
      <c r="E73" s="7">
        <v>3.66</v>
      </c>
    </row>
    <row r="74" spans="1:5" x14ac:dyDescent="0.25">
      <c r="A74" s="68"/>
      <c r="B74" s="7">
        <v>4</v>
      </c>
      <c r="C74" s="7">
        <v>3.03</v>
      </c>
      <c r="D74" s="7">
        <v>3.81</v>
      </c>
      <c r="E74" s="7">
        <v>3.42</v>
      </c>
    </row>
    <row r="75" spans="1:5" x14ac:dyDescent="0.25">
      <c r="A75" s="68"/>
      <c r="B75" s="7">
        <v>3.9</v>
      </c>
      <c r="C75" s="7">
        <v>3.22</v>
      </c>
      <c r="D75" s="7">
        <v>4.5999999999999996</v>
      </c>
      <c r="E75" s="7">
        <v>3.77</v>
      </c>
    </row>
    <row r="76" spans="1:5" x14ac:dyDescent="0.25">
      <c r="A76" s="68"/>
      <c r="B76" s="7">
        <v>3.53</v>
      </c>
      <c r="C76" s="7">
        <v>3.58</v>
      </c>
      <c r="D76" s="7">
        <v>4.28</v>
      </c>
      <c r="E76" s="7">
        <v>3.28</v>
      </c>
    </row>
    <row r="77" spans="1:5" x14ac:dyDescent="0.25">
      <c r="A77" s="68"/>
      <c r="B77" s="7">
        <v>3.5</v>
      </c>
      <c r="C77" s="7">
        <v>3.07</v>
      </c>
      <c r="D77" s="7">
        <v>3.45</v>
      </c>
      <c r="E77" s="7">
        <v>3.23</v>
      </c>
    </row>
    <row r="78" spans="1:5" x14ac:dyDescent="0.25">
      <c r="A78" s="68"/>
      <c r="B78" s="7">
        <v>3.74</v>
      </c>
      <c r="C78" s="7">
        <v>3.88</v>
      </c>
      <c r="D78" s="7">
        <v>4.1500000000000004</v>
      </c>
      <c r="E78" s="7">
        <v>3.9</v>
      </c>
    </row>
    <row r="79" spans="1:5" x14ac:dyDescent="0.25">
      <c r="A79" s="68"/>
      <c r="B79" s="7">
        <v>3.44</v>
      </c>
      <c r="C79" s="7">
        <v>3.44</v>
      </c>
      <c r="D79" s="7">
        <v>4.1399999999999997</v>
      </c>
      <c r="E79" s="7">
        <v>3.67</v>
      </c>
    </row>
    <row r="80" spans="1:5" x14ac:dyDescent="0.25">
      <c r="A80" s="68"/>
      <c r="B80" s="7">
        <v>3.26</v>
      </c>
      <c r="C80" s="7">
        <v>3.5</v>
      </c>
      <c r="D80" s="7">
        <v>3.58</v>
      </c>
      <c r="E80" s="7">
        <v>3.43</v>
      </c>
    </row>
    <row r="81" spans="1:5" x14ac:dyDescent="0.25">
      <c r="A81" s="68" t="s">
        <v>76</v>
      </c>
      <c r="B81" s="7" cm="1">
        <f t="array" ref="B81:B95">E3:E17</f>
        <v>4.3099999999999996</v>
      </c>
      <c r="C81" s="7" cm="1">
        <f t="array" ref="C81:C95">U3:U17</f>
        <v>4.2699999999999996</v>
      </c>
      <c r="D81" s="7" cm="1">
        <f t="array" ref="D81:D95">AK3:AK17</f>
        <v>5.91</v>
      </c>
      <c r="E81" s="7" cm="1">
        <f t="array" ref="E81:E95">BA3:BA17</f>
        <v>4.6399999999999997</v>
      </c>
    </row>
    <row r="82" spans="1:5" x14ac:dyDescent="0.25">
      <c r="A82" s="68"/>
      <c r="B82" s="7">
        <v>5</v>
      </c>
      <c r="C82" s="7">
        <v>3.93</v>
      </c>
      <c r="D82" s="7">
        <v>3.95</v>
      </c>
      <c r="E82" s="7">
        <v>5.27</v>
      </c>
    </row>
    <row r="83" spans="1:5" x14ac:dyDescent="0.25">
      <c r="A83" s="68"/>
      <c r="B83" s="7">
        <v>6.06</v>
      </c>
      <c r="C83" s="7">
        <v>4.9000000000000004</v>
      </c>
      <c r="D83" s="7">
        <v>5.03</v>
      </c>
      <c r="E83" s="7">
        <v>3.99</v>
      </c>
    </row>
    <row r="84" spans="1:5" x14ac:dyDescent="0.25">
      <c r="A84" s="68"/>
      <c r="B84" s="7">
        <v>4.5</v>
      </c>
      <c r="C84" s="7">
        <v>7.63</v>
      </c>
      <c r="D84" s="7">
        <v>3.96</v>
      </c>
      <c r="E84" s="7">
        <v>4.91</v>
      </c>
    </row>
    <row r="85" spans="1:5" x14ac:dyDescent="0.25">
      <c r="A85" s="68"/>
      <c r="B85" s="7">
        <v>4.5</v>
      </c>
      <c r="C85" s="7">
        <v>5.35</v>
      </c>
      <c r="D85" s="7">
        <v>5.4</v>
      </c>
      <c r="E85" s="7">
        <v>4.79</v>
      </c>
    </row>
    <row r="86" spans="1:5" x14ac:dyDescent="0.25">
      <c r="A86" s="68"/>
      <c r="B86" s="7">
        <v>3.9</v>
      </c>
      <c r="C86" s="7">
        <v>4.09</v>
      </c>
      <c r="D86" s="7">
        <v>4.6100000000000003</v>
      </c>
      <c r="E86" s="7">
        <v>4.53</v>
      </c>
    </row>
    <row r="87" spans="1:5" x14ac:dyDescent="0.25">
      <c r="A87" s="68"/>
      <c r="B87" s="7">
        <v>4.45</v>
      </c>
      <c r="C87" s="7">
        <v>4.5</v>
      </c>
      <c r="D87" s="7">
        <v>4.58</v>
      </c>
      <c r="E87" s="7">
        <v>4.5</v>
      </c>
    </row>
    <row r="88" spans="1:5" x14ac:dyDescent="0.25">
      <c r="A88" s="68"/>
      <c r="B88" s="7">
        <v>4.01</v>
      </c>
      <c r="C88" s="7">
        <v>5.19</v>
      </c>
      <c r="D88" s="7">
        <v>5.9</v>
      </c>
      <c r="E88" s="7">
        <v>4.93</v>
      </c>
    </row>
    <row r="89" spans="1:5" x14ac:dyDescent="0.25">
      <c r="A89" s="68"/>
      <c r="B89" s="7">
        <v>4.5</v>
      </c>
      <c r="C89" s="7">
        <v>4.37</v>
      </c>
      <c r="D89" s="7">
        <v>4.88</v>
      </c>
      <c r="E89" s="7">
        <v>5.0599999999999996</v>
      </c>
    </row>
    <row r="90" spans="1:5" x14ac:dyDescent="0.25">
      <c r="A90" s="68"/>
      <c r="B90" s="7">
        <v>4.2</v>
      </c>
      <c r="C90" s="7">
        <v>5.43</v>
      </c>
      <c r="D90" s="7">
        <v>5.69</v>
      </c>
      <c r="E90" s="7">
        <v>4.2699999999999996</v>
      </c>
    </row>
    <row r="91" spans="1:5" x14ac:dyDescent="0.25">
      <c r="A91" s="68"/>
      <c r="B91" s="7">
        <v>5</v>
      </c>
      <c r="C91" s="7">
        <v>4.41</v>
      </c>
      <c r="D91" s="7">
        <v>5.28</v>
      </c>
      <c r="E91" s="7">
        <v>4.93</v>
      </c>
    </row>
    <row r="92" spans="1:5" x14ac:dyDescent="0.25">
      <c r="A92" s="68"/>
      <c r="B92" s="7">
        <v>4.21</v>
      </c>
      <c r="C92" s="7">
        <v>5.34</v>
      </c>
      <c r="D92" s="7">
        <v>4.74</v>
      </c>
      <c r="E92" s="7">
        <v>4.5</v>
      </c>
    </row>
    <row r="93" spans="1:5" x14ac:dyDescent="0.25">
      <c r="A93" s="68"/>
      <c r="B93" s="7">
        <v>5.37</v>
      </c>
      <c r="C93" s="7">
        <v>6.33</v>
      </c>
      <c r="D93" s="7">
        <v>4.49</v>
      </c>
      <c r="E93" s="7">
        <v>4.99</v>
      </c>
    </row>
    <row r="94" spans="1:5" x14ac:dyDescent="0.25">
      <c r="A94" s="68"/>
      <c r="B94" s="7">
        <v>5.1100000000000003</v>
      </c>
      <c r="C94" s="7">
        <v>5.21</v>
      </c>
      <c r="D94" s="7">
        <v>5.25</v>
      </c>
      <c r="E94" s="7">
        <v>5.28</v>
      </c>
    </row>
    <row r="95" spans="1:5" x14ac:dyDescent="0.25">
      <c r="A95" s="68"/>
      <c r="B95" s="7">
        <v>4.97</v>
      </c>
      <c r="C95" s="7">
        <v>4.8</v>
      </c>
      <c r="D95" s="7">
        <v>4.51</v>
      </c>
      <c r="E95" s="7">
        <v>5.61</v>
      </c>
    </row>
    <row r="96" spans="1:5" x14ac:dyDescent="0.25">
      <c r="A96" s="68" t="s">
        <v>77</v>
      </c>
      <c r="B96" s="7" cm="1">
        <f t="array" ref="B96:B110">F3:F17</f>
        <v>4.45</v>
      </c>
      <c r="C96" s="7" cm="1">
        <f t="array" ref="C96:C110">V3:V17</f>
        <v>4.7699999999999996</v>
      </c>
      <c r="D96" s="7" cm="1">
        <f t="array" ref="D96:D110">AL3:AL17</f>
        <v>3.93</v>
      </c>
      <c r="E96" s="7" cm="1">
        <f t="array" ref="E96:E110">BB3:BB17</f>
        <v>5.34</v>
      </c>
    </row>
    <row r="97" spans="1:5" x14ac:dyDescent="0.25">
      <c r="A97" s="68"/>
      <c r="B97" s="7">
        <v>5.78</v>
      </c>
      <c r="C97" s="7">
        <v>5.0599999999999996</v>
      </c>
      <c r="D97" s="7">
        <v>4.66</v>
      </c>
      <c r="E97" s="7">
        <v>3.96</v>
      </c>
    </row>
    <row r="98" spans="1:5" x14ac:dyDescent="0.25">
      <c r="A98" s="68"/>
      <c r="B98" s="7">
        <v>3.08</v>
      </c>
      <c r="C98" s="7">
        <v>4.12</v>
      </c>
      <c r="D98" s="7">
        <v>5.04</v>
      </c>
      <c r="E98" s="7">
        <v>5.75</v>
      </c>
    </row>
    <row r="99" spans="1:5" x14ac:dyDescent="0.25">
      <c r="A99" s="68"/>
      <c r="B99" s="7">
        <v>4.87</v>
      </c>
      <c r="C99" s="7">
        <v>4.47</v>
      </c>
      <c r="D99" s="7">
        <v>3.73</v>
      </c>
      <c r="E99" s="7">
        <v>4.58</v>
      </c>
    </row>
    <row r="100" spans="1:5" x14ac:dyDescent="0.25">
      <c r="A100" s="68"/>
      <c r="B100" s="7">
        <v>4.62</v>
      </c>
      <c r="C100" s="7">
        <v>5.03</v>
      </c>
      <c r="D100" s="7">
        <v>4.9800000000000004</v>
      </c>
      <c r="E100" s="7">
        <v>4.3099999999999996</v>
      </c>
    </row>
    <row r="101" spans="1:5" x14ac:dyDescent="0.25">
      <c r="A101" s="68"/>
      <c r="B101" s="7">
        <v>4.71</v>
      </c>
      <c r="C101" s="7">
        <v>4.97</v>
      </c>
      <c r="D101" s="7">
        <v>4.92</v>
      </c>
      <c r="E101" s="7">
        <v>5</v>
      </c>
    </row>
    <row r="102" spans="1:5" x14ac:dyDescent="0.25">
      <c r="A102" s="68"/>
      <c r="B102" s="7">
        <v>4.24</v>
      </c>
      <c r="C102" s="7">
        <v>5.4</v>
      </c>
      <c r="D102" s="7">
        <v>4.79</v>
      </c>
      <c r="E102" s="7">
        <v>6.31</v>
      </c>
    </row>
    <row r="103" spans="1:5" x14ac:dyDescent="0.25">
      <c r="A103" s="68"/>
      <c r="B103" s="7">
        <v>4.37</v>
      </c>
      <c r="C103" s="7">
        <v>5</v>
      </c>
      <c r="D103" s="7">
        <v>5.83</v>
      </c>
      <c r="E103" s="7">
        <v>3.57</v>
      </c>
    </row>
    <row r="104" spans="1:5" x14ac:dyDescent="0.25">
      <c r="A104" s="68"/>
      <c r="B104" s="7">
        <v>3.85</v>
      </c>
      <c r="C104" s="7">
        <v>4.66</v>
      </c>
      <c r="D104" s="7">
        <v>5</v>
      </c>
      <c r="E104" s="7">
        <v>6.12</v>
      </c>
    </row>
    <row r="105" spans="1:5" x14ac:dyDescent="0.25">
      <c r="A105" s="68"/>
      <c r="B105" s="7">
        <v>4.83</v>
      </c>
      <c r="C105" s="7">
        <v>5.97</v>
      </c>
      <c r="D105" s="7">
        <v>4.24</v>
      </c>
      <c r="E105" s="7">
        <v>5.08</v>
      </c>
    </row>
    <row r="106" spans="1:5" x14ac:dyDescent="0.25">
      <c r="A106" s="68"/>
      <c r="B106" s="7">
        <v>4.34</v>
      </c>
      <c r="C106" s="7">
        <v>4.03</v>
      </c>
      <c r="D106" s="7">
        <v>4.6100000000000003</v>
      </c>
      <c r="E106" s="7">
        <v>5</v>
      </c>
    </row>
    <row r="107" spans="1:5" x14ac:dyDescent="0.25">
      <c r="A107" s="68"/>
      <c r="B107" s="7">
        <v>5.6</v>
      </c>
      <c r="C107" s="7">
        <v>5</v>
      </c>
      <c r="D107" s="7">
        <v>5.49</v>
      </c>
      <c r="E107" s="7">
        <v>4.76</v>
      </c>
    </row>
    <row r="108" spans="1:5" x14ac:dyDescent="0.25">
      <c r="A108" s="68"/>
      <c r="B108" s="7">
        <v>4.84</v>
      </c>
      <c r="C108" s="7">
        <v>5</v>
      </c>
      <c r="D108" s="7">
        <v>6.24</v>
      </c>
      <c r="E108" s="7">
        <v>4.78</v>
      </c>
    </row>
    <row r="109" spans="1:5" x14ac:dyDescent="0.25">
      <c r="A109" s="68"/>
      <c r="B109" s="7">
        <v>4.84</v>
      </c>
      <c r="C109" s="7">
        <v>5.46</v>
      </c>
      <c r="D109" s="7">
        <v>5.34</v>
      </c>
      <c r="E109" s="7">
        <v>3.61</v>
      </c>
    </row>
    <row r="110" spans="1:5" x14ac:dyDescent="0.25">
      <c r="A110" s="68"/>
      <c r="B110" s="7">
        <v>6.18</v>
      </c>
      <c r="C110" s="7">
        <v>4.5599999999999996</v>
      </c>
      <c r="D110" s="7">
        <v>4.79</v>
      </c>
      <c r="E110" s="7">
        <v>4.45</v>
      </c>
    </row>
    <row r="111" spans="1:5" x14ac:dyDescent="0.25">
      <c r="A111" s="68" t="s">
        <v>78</v>
      </c>
      <c r="B111" s="7" cm="1">
        <f t="array" ref="B111:B125">G3:G17</f>
        <v>4.67</v>
      </c>
      <c r="C111" s="7" cm="1">
        <f t="array" ref="C111:C125">W3:W17</f>
        <v>5.6</v>
      </c>
      <c r="D111" s="7" cm="1">
        <f t="array" ref="D111:D125">AM3:AM17</f>
        <v>4.6399999999999997</v>
      </c>
      <c r="E111" s="7" cm="1">
        <f t="array" ref="E111:E125">BC3:BC17</f>
        <v>3.81</v>
      </c>
    </row>
    <row r="112" spans="1:5" x14ac:dyDescent="0.25">
      <c r="A112" s="68"/>
      <c r="B112" s="7">
        <v>5.53</v>
      </c>
      <c r="C112" s="7">
        <v>5.15</v>
      </c>
      <c r="D112" s="7">
        <v>5.1100000000000003</v>
      </c>
      <c r="E112" s="7">
        <v>5.43</v>
      </c>
    </row>
    <row r="113" spans="1:5" x14ac:dyDescent="0.25">
      <c r="A113" s="68"/>
      <c r="B113" s="7">
        <v>4.99</v>
      </c>
      <c r="C113" s="7">
        <v>4.41</v>
      </c>
      <c r="D113" s="7">
        <v>5.31</v>
      </c>
      <c r="E113" s="7">
        <v>4.4800000000000004</v>
      </c>
    </row>
    <row r="114" spans="1:5" x14ac:dyDescent="0.25">
      <c r="A114" s="68"/>
      <c r="B114" s="7">
        <v>3.73</v>
      </c>
      <c r="C114" s="7">
        <v>4.9400000000000004</v>
      </c>
      <c r="D114" s="7">
        <v>5.4</v>
      </c>
      <c r="E114" s="7">
        <v>4.0599999999999996</v>
      </c>
    </row>
    <row r="115" spans="1:5" x14ac:dyDescent="0.25">
      <c r="A115" s="68"/>
      <c r="B115" s="7">
        <v>4.3899999999999997</v>
      </c>
      <c r="C115" s="7">
        <v>4.55</v>
      </c>
      <c r="D115" s="7">
        <v>5.12</v>
      </c>
      <c r="E115" s="7">
        <v>5.0599999999999996</v>
      </c>
    </row>
    <row r="116" spans="1:5" x14ac:dyDescent="0.25">
      <c r="A116" s="68"/>
      <c r="B116" s="7">
        <v>5.46</v>
      </c>
      <c r="C116" s="7">
        <v>5.0199999999999996</v>
      </c>
      <c r="D116" s="7">
        <v>4.8</v>
      </c>
      <c r="E116" s="7">
        <v>4.66</v>
      </c>
    </row>
    <row r="117" spans="1:5" x14ac:dyDescent="0.25">
      <c r="A117" s="68"/>
      <c r="B117" s="7">
        <v>4.6399999999999997</v>
      </c>
      <c r="C117" s="7">
        <v>4.9000000000000004</v>
      </c>
      <c r="D117" s="7">
        <v>5.66</v>
      </c>
      <c r="E117" s="7">
        <v>4.0999999999999996</v>
      </c>
    </row>
    <row r="118" spans="1:5" x14ac:dyDescent="0.25">
      <c r="A118" s="68"/>
      <c r="B118" s="7">
        <v>4.5</v>
      </c>
      <c r="C118" s="7">
        <v>4.84</v>
      </c>
      <c r="D118" s="7">
        <v>6.48</v>
      </c>
      <c r="E118" s="7">
        <v>4.3</v>
      </c>
    </row>
    <row r="119" spans="1:5" x14ac:dyDescent="0.25">
      <c r="A119" s="68"/>
      <c r="B119" s="7">
        <v>4.0599999999999996</v>
      </c>
      <c r="C119" s="7">
        <v>5</v>
      </c>
      <c r="D119" s="7">
        <v>5.09</v>
      </c>
      <c r="E119" s="7">
        <v>5.71</v>
      </c>
    </row>
    <row r="120" spans="1:5" x14ac:dyDescent="0.25">
      <c r="A120" s="68"/>
      <c r="B120" s="7">
        <v>5.15</v>
      </c>
      <c r="C120" s="7">
        <v>3.97</v>
      </c>
      <c r="D120" s="7">
        <v>4.1500000000000004</v>
      </c>
      <c r="E120" s="7">
        <v>5.29</v>
      </c>
    </row>
    <row r="121" spans="1:5" x14ac:dyDescent="0.25">
      <c r="A121" s="68"/>
      <c r="B121" s="7">
        <v>4.1100000000000003</v>
      </c>
      <c r="C121" s="7">
        <v>5.36</v>
      </c>
      <c r="D121" s="7">
        <v>6.29</v>
      </c>
      <c r="E121" s="7">
        <v>5.23</v>
      </c>
    </row>
    <row r="122" spans="1:5" x14ac:dyDescent="0.25">
      <c r="A122" s="68"/>
      <c r="B122" s="7">
        <v>4.93</v>
      </c>
      <c r="C122" s="7">
        <v>4.7699999999999996</v>
      </c>
      <c r="D122" s="7">
        <v>4.24</v>
      </c>
      <c r="E122" s="7">
        <v>4.8499999999999996</v>
      </c>
    </row>
    <row r="123" spans="1:5" x14ac:dyDescent="0.25">
      <c r="A123" s="68"/>
      <c r="B123" s="7">
        <v>5.05</v>
      </c>
      <c r="C123" s="7">
        <v>5.18</v>
      </c>
      <c r="D123" s="7">
        <v>5.0199999999999996</v>
      </c>
      <c r="E123" s="7">
        <v>5.29</v>
      </c>
    </row>
    <row r="124" spans="1:5" x14ac:dyDescent="0.25">
      <c r="A124" s="68"/>
      <c r="B124" s="7">
        <v>5.35</v>
      </c>
      <c r="C124" s="7">
        <v>4.67</v>
      </c>
      <c r="D124" s="7">
        <v>4.91</v>
      </c>
      <c r="E124" s="7">
        <v>4.13</v>
      </c>
    </row>
    <row r="125" spans="1:5" x14ac:dyDescent="0.25">
      <c r="A125" s="68"/>
      <c r="B125" s="7">
        <v>4.93</v>
      </c>
      <c r="C125" s="7">
        <v>4.8499999999999996</v>
      </c>
      <c r="D125" s="7">
        <v>5.03</v>
      </c>
      <c r="E125" s="7">
        <v>5</v>
      </c>
    </row>
    <row r="126" spans="1:5" x14ac:dyDescent="0.25">
      <c r="A126" s="68" t="s">
        <v>79</v>
      </c>
      <c r="B126" s="7" cm="1">
        <f t="array" ref="B126:B140">H3:H17</f>
        <v>3.82</v>
      </c>
      <c r="C126" s="7" cm="1">
        <f t="array" ref="C126:C140">X3:X17</f>
        <v>4.34</v>
      </c>
      <c r="D126" s="7" cm="1">
        <f t="array" ref="D126:D140">AN3:AN17</f>
        <v>5.59</v>
      </c>
      <c r="E126" s="7" cm="1">
        <f t="array" ref="E126:E140">BD3:BD17</f>
        <v>5.01</v>
      </c>
    </row>
    <row r="127" spans="1:5" x14ac:dyDescent="0.25">
      <c r="A127" s="68"/>
      <c r="B127" s="7">
        <v>4.3499999999999996</v>
      </c>
      <c r="C127" s="7">
        <v>4.83</v>
      </c>
      <c r="D127" s="7">
        <v>6.17</v>
      </c>
      <c r="E127" s="7">
        <v>5.95</v>
      </c>
    </row>
    <row r="128" spans="1:5" x14ac:dyDescent="0.25">
      <c r="A128" s="68"/>
      <c r="B128" s="7">
        <v>4.78</v>
      </c>
      <c r="C128" s="7">
        <v>4.9400000000000004</v>
      </c>
      <c r="D128" s="7">
        <v>4.46</v>
      </c>
      <c r="E128" s="7">
        <v>4.0999999999999996</v>
      </c>
    </row>
    <row r="129" spans="1:5" x14ac:dyDescent="0.25">
      <c r="A129" s="68"/>
      <c r="B129" s="7">
        <v>5.0999999999999996</v>
      </c>
      <c r="C129" s="7">
        <v>4.18</v>
      </c>
      <c r="D129" s="7">
        <v>5.26</v>
      </c>
      <c r="E129" s="7">
        <v>4.13</v>
      </c>
    </row>
    <row r="130" spans="1:5" x14ac:dyDescent="0.25">
      <c r="A130" s="68"/>
      <c r="B130" s="7">
        <v>4.42</v>
      </c>
      <c r="C130" s="7">
        <v>3.7</v>
      </c>
      <c r="D130" s="7">
        <v>5.13</v>
      </c>
      <c r="E130" s="7">
        <v>5.83</v>
      </c>
    </row>
    <row r="131" spans="1:5" x14ac:dyDescent="0.25">
      <c r="A131" s="68"/>
      <c r="B131" s="7">
        <v>4.84</v>
      </c>
      <c r="C131" s="7">
        <v>4.72</v>
      </c>
      <c r="D131" s="7">
        <v>3.59</v>
      </c>
      <c r="E131" s="7">
        <v>4.22</v>
      </c>
    </row>
    <row r="132" spans="1:5" x14ac:dyDescent="0.25">
      <c r="A132" s="68"/>
      <c r="B132" s="7">
        <v>4.66</v>
      </c>
      <c r="C132" s="7">
        <v>5.25</v>
      </c>
      <c r="D132" s="7">
        <v>5.31</v>
      </c>
      <c r="E132" s="7">
        <v>3.77</v>
      </c>
    </row>
    <row r="133" spans="1:5" x14ac:dyDescent="0.25">
      <c r="A133" s="68"/>
      <c r="B133" s="7">
        <v>5.47</v>
      </c>
      <c r="C133" s="7">
        <v>5.3</v>
      </c>
      <c r="D133" s="7">
        <v>6.5</v>
      </c>
      <c r="E133" s="7">
        <v>4.0999999999999996</v>
      </c>
    </row>
    <row r="134" spans="1:5" x14ac:dyDescent="0.25">
      <c r="A134" s="68"/>
      <c r="B134" s="7">
        <v>2.86</v>
      </c>
      <c r="C134" s="7">
        <v>3.45</v>
      </c>
      <c r="D134" s="7">
        <v>4.24</v>
      </c>
      <c r="E134" s="7">
        <v>4.1399999999999997</v>
      </c>
    </row>
    <row r="135" spans="1:5" x14ac:dyDescent="0.25">
      <c r="A135" s="68"/>
      <c r="B135" s="7">
        <v>5.27</v>
      </c>
      <c r="C135" s="7">
        <v>4.63</v>
      </c>
      <c r="D135" s="7">
        <v>4.87</v>
      </c>
      <c r="E135" s="7">
        <v>4.08</v>
      </c>
    </row>
    <row r="136" spans="1:5" x14ac:dyDescent="0.25">
      <c r="A136" s="68"/>
      <c r="B136" s="7">
        <v>3.47</v>
      </c>
      <c r="C136" s="7">
        <v>3.81</v>
      </c>
      <c r="D136" s="7">
        <v>5.82</v>
      </c>
      <c r="E136" s="7">
        <v>4.33</v>
      </c>
    </row>
    <row r="137" spans="1:5" x14ac:dyDescent="0.25">
      <c r="A137" s="68"/>
      <c r="B137" s="7">
        <v>5.31</v>
      </c>
      <c r="C137" s="7">
        <v>5.0999999999999996</v>
      </c>
      <c r="D137" s="7">
        <v>4.47</v>
      </c>
      <c r="E137" s="7">
        <v>4.57</v>
      </c>
    </row>
    <row r="138" spans="1:5" x14ac:dyDescent="0.25">
      <c r="A138" s="68"/>
      <c r="B138" s="7">
        <v>4.92</v>
      </c>
      <c r="C138" s="7">
        <v>5.35</v>
      </c>
      <c r="D138" s="7">
        <v>4.13</v>
      </c>
      <c r="E138" s="7">
        <v>4.9000000000000004</v>
      </c>
    </row>
    <row r="139" spans="1:5" x14ac:dyDescent="0.25">
      <c r="A139" s="68"/>
      <c r="B139" s="7">
        <v>5.57</v>
      </c>
      <c r="C139" s="7">
        <v>4.8499999999999996</v>
      </c>
      <c r="D139" s="7">
        <v>5.68</v>
      </c>
      <c r="E139" s="7">
        <v>5.35</v>
      </c>
    </row>
    <row r="140" spans="1:5" x14ac:dyDescent="0.25">
      <c r="A140" s="68"/>
      <c r="B140" s="7">
        <v>5.41</v>
      </c>
      <c r="C140" s="7">
        <v>5</v>
      </c>
      <c r="D140" s="7">
        <v>4.84</v>
      </c>
      <c r="E140" s="7">
        <v>5.71</v>
      </c>
    </row>
    <row r="141" spans="1:5" x14ac:dyDescent="0.25">
      <c r="A141" s="68" t="s">
        <v>80</v>
      </c>
      <c r="B141" s="7" cm="1">
        <f t="array" ref="B141:B155">I3:I17</f>
        <v>3.1</v>
      </c>
      <c r="C141" s="7" cm="1">
        <f t="array" ref="C141:C155">Y3:Y17</f>
        <v>3.36</v>
      </c>
      <c r="D141" s="7" cm="1">
        <f t="array" ref="D141:D155">AO3:AO17</f>
        <v>3.96</v>
      </c>
      <c r="E141" s="7" cm="1">
        <f t="array" ref="E141:E155">BE3:BE17</f>
        <v>3.57</v>
      </c>
    </row>
    <row r="142" spans="1:5" x14ac:dyDescent="0.25">
      <c r="A142" s="68"/>
      <c r="B142" s="7">
        <v>3.39</v>
      </c>
      <c r="C142" s="7">
        <v>3.93</v>
      </c>
      <c r="D142" s="7">
        <v>3.01</v>
      </c>
      <c r="E142" s="7">
        <v>2.78</v>
      </c>
    </row>
    <row r="143" spans="1:5" x14ac:dyDescent="0.25">
      <c r="A143" s="68"/>
      <c r="B143" s="7">
        <v>3.96</v>
      </c>
      <c r="C143" s="7">
        <v>3.49</v>
      </c>
      <c r="D143" s="7">
        <v>3.53</v>
      </c>
      <c r="E143" s="7">
        <v>3.69</v>
      </c>
    </row>
    <row r="144" spans="1:5" x14ac:dyDescent="0.25">
      <c r="A144" s="68"/>
      <c r="B144" s="7">
        <v>2.9</v>
      </c>
      <c r="C144" s="7">
        <v>4.0999999999999996</v>
      </c>
      <c r="D144" s="7">
        <v>3.08</v>
      </c>
      <c r="E144" s="7">
        <v>3.13</v>
      </c>
    </row>
    <row r="145" spans="1:5" x14ac:dyDescent="0.25">
      <c r="A145" s="68"/>
      <c r="B145" s="7">
        <v>3.22</v>
      </c>
      <c r="C145" s="7">
        <v>3.48</v>
      </c>
      <c r="D145" s="7">
        <v>3.53</v>
      </c>
      <c r="E145" s="7">
        <v>3.73</v>
      </c>
    </row>
    <row r="146" spans="1:5" x14ac:dyDescent="0.25">
      <c r="A146" s="68"/>
      <c r="B146" s="7">
        <v>3.4</v>
      </c>
      <c r="C146" s="7">
        <v>2.95</v>
      </c>
      <c r="D146" s="7">
        <v>4.0999999999999996</v>
      </c>
      <c r="E146" s="7">
        <v>2.91</v>
      </c>
    </row>
    <row r="147" spans="1:5" x14ac:dyDescent="0.25">
      <c r="A147" s="68"/>
      <c r="B147" s="7">
        <v>3.29</v>
      </c>
      <c r="C147" s="7">
        <v>3.8</v>
      </c>
      <c r="D147" s="7">
        <v>3.52</v>
      </c>
      <c r="E147" s="7">
        <v>3.2</v>
      </c>
    </row>
    <row r="148" spans="1:5" x14ac:dyDescent="0.25">
      <c r="A148" s="68"/>
      <c r="B148" s="7">
        <v>4.5</v>
      </c>
      <c r="C148" s="7">
        <v>4.0199999999999996</v>
      </c>
      <c r="D148" s="7">
        <v>3.98</v>
      </c>
      <c r="E148" s="7">
        <v>3.66</v>
      </c>
    </row>
    <row r="149" spans="1:5" x14ac:dyDescent="0.25">
      <c r="A149" s="68"/>
      <c r="B149" s="7">
        <v>3.68</v>
      </c>
      <c r="C149" s="7">
        <v>3.03</v>
      </c>
      <c r="D149" s="7">
        <v>3.35</v>
      </c>
      <c r="E149" s="7">
        <v>3.9</v>
      </c>
    </row>
    <row r="150" spans="1:5" x14ac:dyDescent="0.25">
      <c r="A150" s="68"/>
      <c r="B150" s="7">
        <v>3.14</v>
      </c>
      <c r="C150" s="7">
        <v>3.24</v>
      </c>
      <c r="D150" s="7">
        <v>4.18</v>
      </c>
      <c r="E150" s="7">
        <v>2.97</v>
      </c>
    </row>
    <row r="151" spans="1:5" x14ac:dyDescent="0.25">
      <c r="A151" s="68"/>
      <c r="B151" s="7">
        <v>3.35</v>
      </c>
      <c r="C151" s="7">
        <v>3</v>
      </c>
      <c r="D151" s="7">
        <v>3.38</v>
      </c>
      <c r="E151" s="7">
        <v>3.38</v>
      </c>
    </row>
    <row r="152" spans="1:5" x14ac:dyDescent="0.25">
      <c r="A152" s="68"/>
      <c r="B152" s="7">
        <v>3.26</v>
      </c>
      <c r="C152" s="7">
        <v>3.43</v>
      </c>
      <c r="D152" s="7">
        <v>3.34</v>
      </c>
      <c r="E152" s="7">
        <v>3.61</v>
      </c>
    </row>
    <row r="153" spans="1:5" x14ac:dyDescent="0.25">
      <c r="A153" s="68"/>
      <c r="B153" s="7">
        <v>3.9</v>
      </c>
      <c r="C153" s="7">
        <v>4.08</v>
      </c>
      <c r="D153" s="7">
        <v>3.47</v>
      </c>
      <c r="E153" s="7">
        <v>4.07</v>
      </c>
    </row>
    <row r="154" spans="1:5" x14ac:dyDescent="0.25">
      <c r="A154" s="68"/>
      <c r="B154" s="7">
        <v>3.62</v>
      </c>
      <c r="C154" s="7">
        <v>3.54</v>
      </c>
      <c r="D154" s="7">
        <v>3.48</v>
      </c>
      <c r="E154" s="7">
        <v>3.44</v>
      </c>
    </row>
    <row r="155" spans="1:5" x14ac:dyDescent="0.25">
      <c r="A155" s="68"/>
      <c r="B155" s="7">
        <v>4.0199999999999996</v>
      </c>
      <c r="C155" s="7">
        <v>3.6</v>
      </c>
      <c r="D155" s="7">
        <v>3.58</v>
      </c>
      <c r="E155" s="7">
        <v>4.05</v>
      </c>
    </row>
    <row r="156" spans="1:5" x14ac:dyDescent="0.25">
      <c r="A156" s="68" t="s">
        <v>81</v>
      </c>
      <c r="B156" s="7" cm="1">
        <f t="array" ref="B156:B170">J3:J17</f>
        <v>3.75</v>
      </c>
      <c r="C156" s="7" cm="1">
        <f t="array" ref="C156:C170">Z3:Z17</f>
        <v>3.22</v>
      </c>
      <c r="D156" s="7" cm="1">
        <f t="array" ref="D156:D170">AP3:AP17</f>
        <v>4.24</v>
      </c>
      <c r="E156" s="7" cm="1">
        <f t="array" ref="E156:E170">BF3:BF17</f>
        <v>3.76</v>
      </c>
    </row>
    <row r="157" spans="1:5" x14ac:dyDescent="0.25">
      <c r="A157" s="68"/>
      <c r="B157" s="7">
        <v>3.36</v>
      </c>
      <c r="C157" s="7">
        <v>3.28</v>
      </c>
      <c r="D157" s="7">
        <v>3.51</v>
      </c>
      <c r="E157" s="7">
        <v>3.61</v>
      </c>
    </row>
    <row r="158" spans="1:5" x14ac:dyDescent="0.25">
      <c r="A158" s="68"/>
      <c r="B158" s="7">
        <v>3.4</v>
      </c>
      <c r="C158" s="7">
        <v>3.62</v>
      </c>
      <c r="D158" s="7">
        <v>3.58</v>
      </c>
      <c r="E158" s="7">
        <v>3.98</v>
      </c>
    </row>
    <row r="159" spans="1:5" x14ac:dyDescent="0.25">
      <c r="A159" s="68"/>
      <c r="B159" s="7">
        <v>3.1</v>
      </c>
      <c r="C159" s="7">
        <v>4.0599999999999996</v>
      </c>
      <c r="D159" s="7">
        <v>4.3099999999999996</v>
      </c>
      <c r="E159" s="7">
        <v>3.66</v>
      </c>
    </row>
    <row r="160" spans="1:5" x14ac:dyDescent="0.25">
      <c r="A160" s="68"/>
      <c r="B160" s="7">
        <v>3.56</v>
      </c>
      <c r="C160" s="7">
        <v>3.31</v>
      </c>
      <c r="D160" s="7">
        <v>3.51</v>
      </c>
      <c r="E160" s="7">
        <v>3.21</v>
      </c>
    </row>
    <row r="161" spans="1:5" x14ac:dyDescent="0.25">
      <c r="A161" s="68"/>
      <c r="B161" s="7">
        <v>3.98</v>
      </c>
      <c r="C161" s="7">
        <v>3.28</v>
      </c>
      <c r="D161" s="7">
        <v>3.64</v>
      </c>
      <c r="E161" s="7">
        <v>3.44</v>
      </c>
    </row>
    <row r="162" spans="1:5" x14ac:dyDescent="0.25">
      <c r="A162" s="68"/>
      <c r="B162" s="7">
        <v>3.39</v>
      </c>
      <c r="C162" s="7">
        <v>3.74</v>
      </c>
      <c r="D162" s="7">
        <v>3</v>
      </c>
      <c r="E162" s="7">
        <v>3.09</v>
      </c>
    </row>
    <row r="163" spans="1:5" x14ac:dyDescent="0.25">
      <c r="A163" s="68"/>
      <c r="B163" s="7">
        <v>3.93</v>
      </c>
      <c r="C163" s="7">
        <v>3.9</v>
      </c>
      <c r="D163" s="7">
        <v>3.05</v>
      </c>
      <c r="E163" s="7">
        <v>3.71</v>
      </c>
    </row>
    <row r="164" spans="1:5" x14ac:dyDescent="0.25">
      <c r="A164" s="68"/>
      <c r="B164" s="7">
        <v>3.67</v>
      </c>
      <c r="C164" s="7">
        <v>3.48</v>
      </c>
      <c r="D164" s="7">
        <v>3.55</v>
      </c>
      <c r="E164" s="7">
        <v>3.55</v>
      </c>
    </row>
    <row r="165" spans="1:5" x14ac:dyDescent="0.25">
      <c r="A165" s="68"/>
      <c r="B165" s="7">
        <v>3.9</v>
      </c>
      <c r="C165" s="7">
        <v>3.23</v>
      </c>
      <c r="D165" s="7">
        <v>3.5</v>
      </c>
      <c r="E165" s="7">
        <v>3.49</v>
      </c>
    </row>
    <row r="166" spans="1:5" x14ac:dyDescent="0.25">
      <c r="A166" s="68"/>
      <c r="B166" s="7">
        <v>3.69</v>
      </c>
      <c r="C166" s="7">
        <v>3.43</v>
      </c>
      <c r="D166" s="7">
        <v>3.67</v>
      </c>
      <c r="E166" s="7">
        <v>3.9</v>
      </c>
    </row>
    <row r="167" spans="1:5" x14ac:dyDescent="0.25">
      <c r="A167" s="68"/>
      <c r="B167" s="7">
        <v>3.18</v>
      </c>
      <c r="C167" s="7">
        <v>3</v>
      </c>
      <c r="D167" s="7">
        <v>3.6</v>
      </c>
      <c r="E167" s="7">
        <v>3.45</v>
      </c>
    </row>
    <row r="168" spans="1:5" x14ac:dyDescent="0.25">
      <c r="A168" s="68"/>
      <c r="B168" s="7">
        <v>3.25</v>
      </c>
      <c r="C168" s="7">
        <v>3.13</v>
      </c>
      <c r="D168" s="7">
        <v>4.0599999999999996</v>
      </c>
      <c r="E168" s="7">
        <v>3.63</v>
      </c>
    </row>
    <row r="169" spans="1:5" x14ac:dyDescent="0.25">
      <c r="A169" s="68"/>
      <c r="B169" s="7">
        <v>4.08</v>
      </c>
      <c r="C169" s="7">
        <v>3.38</v>
      </c>
      <c r="D169" s="7">
        <v>5.08</v>
      </c>
      <c r="E169" s="7">
        <v>3.54</v>
      </c>
    </row>
    <row r="170" spans="1:5" x14ac:dyDescent="0.25">
      <c r="A170" s="68"/>
      <c r="B170" s="7">
        <v>3.57</v>
      </c>
      <c r="C170" s="7">
        <v>3.62</v>
      </c>
      <c r="D170" s="7">
        <v>3.62</v>
      </c>
      <c r="E170" s="7">
        <v>3.96</v>
      </c>
    </row>
    <row r="171" spans="1:5" x14ac:dyDescent="0.25">
      <c r="A171" s="68" t="s">
        <v>82</v>
      </c>
      <c r="B171" s="7" cm="1">
        <f t="array" ref="B171:B185">K3:K17</f>
        <v>3.21</v>
      </c>
      <c r="C171" s="7" cm="1">
        <f t="array" ref="C171:C185">AA3:AA17</f>
        <v>4.0199999999999996</v>
      </c>
      <c r="D171" s="7" cm="1">
        <f t="array" ref="D171:D185">AQ3:AQ17</f>
        <v>4.0999999999999996</v>
      </c>
      <c r="E171" s="7" cm="1">
        <f t="array" ref="E171:E185">BG3:BG17</f>
        <v>3.74</v>
      </c>
    </row>
    <row r="172" spans="1:5" x14ac:dyDescent="0.25">
      <c r="A172" s="68"/>
      <c r="B172" s="7">
        <v>3.65</v>
      </c>
      <c r="C172" s="7">
        <v>3.97</v>
      </c>
      <c r="D172" s="7">
        <v>3.38</v>
      </c>
      <c r="E172" s="7">
        <v>3.67</v>
      </c>
    </row>
    <row r="173" spans="1:5" x14ac:dyDescent="0.25">
      <c r="A173" s="68"/>
      <c r="B173" s="7">
        <v>3.23</v>
      </c>
      <c r="C173" s="7">
        <v>3.35</v>
      </c>
      <c r="D173" s="7">
        <v>4.04</v>
      </c>
      <c r="E173" s="7">
        <v>4.03</v>
      </c>
    </row>
    <row r="174" spans="1:5" x14ac:dyDescent="0.25">
      <c r="A174" s="68"/>
      <c r="B174" s="7">
        <v>3.3</v>
      </c>
      <c r="C174" s="7">
        <v>4.42</v>
      </c>
      <c r="D174" s="7">
        <v>4.37</v>
      </c>
      <c r="E174" s="7">
        <v>3.08</v>
      </c>
    </row>
    <row r="175" spans="1:5" x14ac:dyDescent="0.25">
      <c r="A175" s="68"/>
      <c r="B175" s="7">
        <v>3.9</v>
      </c>
      <c r="C175" s="7">
        <v>3.78</v>
      </c>
      <c r="D175" s="7">
        <v>3.5</v>
      </c>
      <c r="E175" s="7">
        <v>3.61</v>
      </c>
    </row>
    <row r="176" spans="1:5" x14ac:dyDescent="0.25">
      <c r="A176" s="68"/>
      <c r="B176" s="7">
        <v>2.91</v>
      </c>
      <c r="C176" s="7">
        <v>3.99</v>
      </c>
      <c r="D176" s="7">
        <v>4.5</v>
      </c>
      <c r="E176" s="7">
        <v>3.09</v>
      </c>
    </row>
    <row r="177" spans="1:5" x14ac:dyDescent="0.25">
      <c r="A177" s="68"/>
      <c r="B177" s="7">
        <v>3.9</v>
      </c>
      <c r="C177" s="7">
        <v>3.04</v>
      </c>
      <c r="D177" s="7">
        <v>3.39</v>
      </c>
      <c r="E177" s="7">
        <v>3.48</v>
      </c>
    </row>
    <row r="178" spans="1:5" x14ac:dyDescent="0.25">
      <c r="A178" s="68"/>
      <c r="B178" s="7">
        <v>3.48</v>
      </c>
      <c r="C178" s="7">
        <v>3.4</v>
      </c>
      <c r="D178" s="7">
        <v>3</v>
      </c>
      <c r="E178" s="7">
        <v>3.61</v>
      </c>
    </row>
    <row r="179" spans="1:5" x14ac:dyDescent="0.25">
      <c r="A179" s="68"/>
      <c r="B179" s="7">
        <v>4</v>
      </c>
      <c r="C179" s="7">
        <v>3.97</v>
      </c>
      <c r="D179" s="7">
        <v>3.7</v>
      </c>
      <c r="E179" s="7">
        <v>3.97</v>
      </c>
    </row>
    <row r="180" spans="1:5" x14ac:dyDescent="0.25">
      <c r="A180" s="68"/>
      <c r="B180" s="7">
        <v>3.49</v>
      </c>
      <c r="C180" s="7">
        <v>3.44</v>
      </c>
      <c r="D180" s="7">
        <v>3.83</v>
      </c>
      <c r="E180" s="7">
        <v>3.9</v>
      </c>
    </row>
    <row r="181" spans="1:5" x14ac:dyDescent="0.25">
      <c r="A181" s="68"/>
      <c r="B181" s="7">
        <v>3</v>
      </c>
      <c r="C181" s="7">
        <v>3.61</v>
      </c>
      <c r="D181" s="7">
        <v>3.73</v>
      </c>
      <c r="E181" s="7">
        <v>3.7</v>
      </c>
    </row>
    <row r="182" spans="1:5" x14ac:dyDescent="0.25">
      <c r="A182" s="68"/>
      <c r="B182" s="7">
        <v>3.72</v>
      </c>
      <c r="C182" s="7">
        <v>3.71</v>
      </c>
      <c r="D182" s="7">
        <v>3.28</v>
      </c>
      <c r="E182" s="7">
        <v>3.8</v>
      </c>
    </row>
    <row r="183" spans="1:5" x14ac:dyDescent="0.25">
      <c r="A183" s="68"/>
      <c r="B183" s="7">
        <v>3.36</v>
      </c>
      <c r="C183" s="7">
        <v>4</v>
      </c>
      <c r="D183" s="7">
        <v>3.42</v>
      </c>
      <c r="E183" s="7">
        <v>3.71</v>
      </c>
    </row>
    <row r="184" spans="1:5" x14ac:dyDescent="0.25">
      <c r="A184" s="68"/>
      <c r="B184" s="7">
        <v>3.28</v>
      </c>
      <c r="C184" s="7">
        <v>3.6</v>
      </c>
      <c r="D184" s="7">
        <v>3.9</v>
      </c>
      <c r="E184" s="7">
        <v>3.5</v>
      </c>
    </row>
    <row r="185" spans="1:5" x14ac:dyDescent="0.25">
      <c r="A185" s="68"/>
      <c r="B185" s="7">
        <v>3.54</v>
      </c>
      <c r="C185" s="7">
        <v>3.76</v>
      </c>
      <c r="D185" s="7">
        <v>3.37</v>
      </c>
      <c r="E185" s="7">
        <v>3.37</v>
      </c>
    </row>
    <row r="186" spans="1:5" x14ac:dyDescent="0.25">
      <c r="A186" s="68" t="s">
        <v>83</v>
      </c>
      <c r="B186" s="7" cm="1">
        <f t="array" ref="B186:B200">L3:L17</f>
        <v>3.17</v>
      </c>
      <c r="C186" s="7" cm="1">
        <f t="array" ref="C186:C200">AB3:AB17</f>
        <v>3.61</v>
      </c>
      <c r="D186" s="7" cm="1">
        <f t="array" ref="D186:D200">AR3:AR17</f>
        <v>4.4000000000000004</v>
      </c>
      <c r="E186" s="7" cm="1">
        <f t="array" ref="E186:E200">BH3:BH17</f>
        <v>3.71</v>
      </c>
    </row>
    <row r="187" spans="1:5" x14ac:dyDescent="0.25">
      <c r="A187" s="68"/>
      <c r="B187" s="7">
        <v>2.8</v>
      </c>
      <c r="C187" s="7">
        <v>3.39</v>
      </c>
      <c r="D187" s="7">
        <v>3.78</v>
      </c>
      <c r="E187" s="7">
        <v>2.96</v>
      </c>
    </row>
    <row r="188" spans="1:5" x14ac:dyDescent="0.25">
      <c r="A188" s="68"/>
      <c r="B188" s="7">
        <v>3.62</v>
      </c>
      <c r="C188" s="7">
        <v>2.98</v>
      </c>
      <c r="D188" s="7">
        <v>3.3</v>
      </c>
      <c r="E188" s="7">
        <v>3.82</v>
      </c>
    </row>
    <row r="189" spans="1:5" x14ac:dyDescent="0.25">
      <c r="A189" s="68"/>
      <c r="B189" s="7">
        <v>2.84</v>
      </c>
      <c r="C189" s="7">
        <v>3.51</v>
      </c>
      <c r="D189" s="7">
        <v>4.01</v>
      </c>
      <c r="E189" s="7">
        <v>4.1500000000000004</v>
      </c>
    </row>
    <row r="190" spans="1:5" x14ac:dyDescent="0.25">
      <c r="A190" s="68"/>
      <c r="B190" s="7">
        <v>3.58</v>
      </c>
      <c r="C190" s="7">
        <v>3.2</v>
      </c>
      <c r="D190" s="7">
        <v>3.44</v>
      </c>
      <c r="E190" s="7">
        <v>3.9</v>
      </c>
    </row>
    <row r="191" spans="1:5" x14ac:dyDescent="0.25">
      <c r="A191" s="68"/>
      <c r="B191" s="7">
        <v>3.78</v>
      </c>
      <c r="C191" s="7">
        <v>3.34</v>
      </c>
      <c r="D191" s="7">
        <v>3.08</v>
      </c>
      <c r="E191" s="7">
        <v>3.82</v>
      </c>
    </row>
    <row r="192" spans="1:5" x14ac:dyDescent="0.25">
      <c r="A192" s="68"/>
      <c r="B192" s="7">
        <v>3.15</v>
      </c>
      <c r="C192" s="7">
        <v>3.88</v>
      </c>
      <c r="D192" s="7">
        <v>3.57</v>
      </c>
      <c r="E192" s="7">
        <v>2.95</v>
      </c>
    </row>
    <row r="193" spans="1:5" x14ac:dyDescent="0.25">
      <c r="A193" s="68"/>
      <c r="B193" s="7">
        <v>3.18</v>
      </c>
      <c r="C193" s="7">
        <v>3.29</v>
      </c>
      <c r="D193" s="7">
        <v>3.75</v>
      </c>
      <c r="E193" s="7">
        <v>3.43</v>
      </c>
    </row>
    <row r="194" spans="1:5" x14ac:dyDescent="0.25">
      <c r="A194" s="68"/>
      <c r="B194" s="7">
        <v>3.3</v>
      </c>
      <c r="C194" s="7">
        <v>3.59</v>
      </c>
      <c r="D194" s="7">
        <v>3.88</v>
      </c>
      <c r="E194" s="7">
        <v>3.62</v>
      </c>
    </row>
    <row r="195" spans="1:5" x14ac:dyDescent="0.25">
      <c r="A195" s="68"/>
      <c r="B195" s="7">
        <v>3.76</v>
      </c>
      <c r="C195" s="7">
        <v>3.65</v>
      </c>
      <c r="D195" s="7">
        <v>3</v>
      </c>
      <c r="E195" s="7">
        <v>3.15</v>
      </c>
    </row>
    <row r="196" spans="1:5" x14ac:dyDescent="0.25">
      <c r="A196" s="68"/>
      <c r="B196" s="7">
        <v>3.35</v>
      </c>
      <c r="C196" s="7">
        <v>3.54</v>
      </c>
      <c r="D196" s="7">
        <v>3</v>
      </c>
      <c r="E196" s="7">
        <v>3.39</v>
      </c>
    </row>
    <row r="197" spans="1:5" x14ac:dyDescent="0.25">
      <c r="A197" s="68"/>
      <c r="B197" s="7">
        <v>3.4</v>
      </c>
      <c r="C197" s="7">
        <v>2.9</v>
      </c>
      <c r="D197" s="7">
        <v>3.22</v>
      </c>
      <c r="E197" s="7">
        <v>3.68</v>
      </c>
    </row>
    <row r="198" spans="1:5" x14ac:dyDescent="0.25">
      <c r="A198" s="68"/>
      <c r="B198" s="7">
        <v>3.4</v>
      </c>
      <c r="C198" s="7">
        <v>4.13</v>
      </c>
      <c r="D198" s="7">
        <v>3.5</v>
      </c>
      <c r="E198" s="7">
        <v>3.8</v>
      </c>
    </row>
    <row r="199" spans="1:5" x14ac:dyDescent="0.25">
      <c r="A199" s="68"/>
      <c r="B199" s="7">
        <v>4.05</v>
      </c>
      <c r="C199" s="7">
        <v>3.17</v>
      </c>
      <c r="D199" s="7">
        <v>3.85</v>
      </c>
      <c r="E199" s="7">
        <v>2.9</v>
      </c>
    </row>
    <row r="200" spans="1:5" x14ac:dyDescent="0.25">
      <c r="A200" s="68"/>
      <c r="B200" s="7">
        <v>3.55</v>
      </c>
      <c r="C200" s="7">
        <v>4.42</v>
      </c>
      <c r="D200" s="7">
        <v>3.15</v>
      </c>
      <c r="E200" s="7">
        <v>3.92</v>
      </c>
    </row>
    <row r="201" spans="1:5" x14ac:dyDescent="0.25">
      <c r="A201" s="68" t="s">
        <v>84</v>
      </c>
      <c r="B201" s="7" cm="1">
        <f t="array" ref="B201:B215">M3:M17</f>
        <v>3.19</v>
      </c>
      <c r="C201" s="7" cm="1">
        <f t="array" ref="C201:C215">AC3:AC17</f>
        <v>3.31</v>
      </c>
      <c r="D201" s="7" cm="1">
        <f t="array" ref="D201:D215">AS3:AS17</f>
        <v>3.72</v>
      </c>
      <c r="E201" s="7" cm="1">
        <f t="array" ref="E201:E215">BI3:BI17</f>
        <v>3.7</v>
      </c>
    </row>
    <row r="202" spans="1:5" x14ac:dyDescent="0.25">
      <c r="A202" s="68"/>
      <c r="B202" s="7">
        <v>3.52</v>
      </c>
      <c r="C202" s="7">
        <v>3.13</v>
      </c>
      <c r="D202" s="7">
        <v>3.39</v>
      </c>
      <c r="E202" s="7">
        <v>3.19</v>
      </c>
    </row>
    <row r="203" spans="1:5" x14ac:dyDescent="0.25">
      <c r="A203" s="68"/>
      <c r="B203" s="7">
        <v>3.9</v>
      </c>
      <c r="C203" s="7">
        <v>3.61</v>
      </c>
      <c r="D203" s="7">
        <v>3.58</v>
      </c>
      <c r="E203" s="7">
        <v>3.27</v>
      </c>
    </row>
    <row r="204" spans="1:5" x14ac:dyDescent="0.25">
      <c r="A204" s="68"/>
      <c r="B204" s="7">
        <v>3.78</v>
      </c>
      <c r="C204" s="7">
        <v>4.2300000000000004</v>
      </c>
      <c r="D204" s="7">
        <v>3.78</v>
      </c>
      <c r="E204" s="7">
        <v>3.43</v>
      </c>
    </row>
    <row r="205" spans="1:5" x14ac:dyDescent="0.25">
      <c r="A205" s="68"/>
      <c r="B205" s="7">
        <v>3.73</v>
      </c>
      <c r="C205" s="7">
        <v>3.13</v>
      </c>
      <c r="D205" s="7">
        <v>3.79</v>
      </c>
      <c r="E205" s="7">
        <v>3.61</v>
      </c>
    </row>
    <row r="206" spans="1:5" x14ac:dyDescent="0.25">
      <c r="A206" s="68"/>
      <c r="B206" s="7">
        <v>3.41</v>
      </c>
      <c r="C206" s="7">
        <v>3.47</v>
      </c>
      <c r="D206" s="7">
        <v>3.81</v>
      </c>
      <c r="E206" s="7">
        <v>3.75</v>
      </c>
    </row>
    <row r="207" spans="1:5" x14ac:dyDescent="0.25">
      <c r="A207" s="68"/>
      <c r="B207" s="7">
        <v>3.4</v>
      </c>
      <c r="C207" s="7">
        <v>3.66</v>
      </c>
      <c r="D207" s="7">
        <v>3.32</v>
      </c>
      <c r="E207" s="7">
        <v>3.76</v>
      </c>
    </row>
    <row r="208" spans="1:5" x14ac:dyDescent="0.25">
      <c r="A208" s="68"/>
      <c r="B208" s="7">
        <v>2.94</v>
      </c>
      <c r="C208" s="7">
        <v>3.25</v>
      </c>
      <c r="D208" s="7">
        <v>4.18</v>
      </c>
      <c r="E208" s="7">
        <v>3.58</v>
      </c>
    </row>
    <row r="209" spans="1:5" x14ac:dyDescent="0.25">
      <c r="A209" s="68"/>
      <c r="B209" s="7">
        <v>3.66</v>
      </c>
      <c r="C209" s="7">
        <v>3.46</v>
      </c>
      <c r="D209" s="7">
        <v>3.71</v>
      </c>
      <c r="E209" s="7">
        <v>3.57</v>
      </c>
    </row>
    <row r="210" spans="1:5" x14ac:dyDescent="0.25">
      <c r="A210" s="68"/>
      <c r="B210" s="7">
        <v>3.55</v>
      </c>
      <c r="C210" s="7">
        <v>3.27</v>
      </c>
      <c r="D210" s="7">
        <v>3.88</v>
      </c>
      <c r="E210" s="7">
        <v>3.9</v>
      </c>
    </row>
    <row r="211" spans="1:5" x14ac:dyDescent="0.25">
      <c r="A211" s="68"/>
      <c r="B211" s="7">
        <v>3.64</v>
      </c>
      <c r="C211" s="7">
        <v>3.28</v>
      </c>
      <c r="D211" s="7">
        <v>4.1100000000000003</v>
      </c>
      <c r="E211" s="7">
        <v>3.98</v>
      </c>
    </row>
    <row r="212" spans="1:5" x14ac:dyDescent="0.25">
      <c r="A212" s="68"/>
      <c r="B212" s="7">
        <v>3.34</v>
      </c>
      <c r="C212" s="7">
        <v>3.65</v>
      </c>
      <c r="D212" s="7">
        <v>3</v>
      </c>
      <c r="E212" s="7">
        <v>3.2</v>
      </c>
    </row>
    <row r="213" spans="1:5" x14ac:dyDescent="0.25">
      <c r="A213" s="68"/>
      <c r="B213" s="7">
        <v>3.5</v>
      </c>
      <c r="C213" s="7">
        <v>3.08</v>
      </c>
      <c r="D213" s="7">
        <v>4</v>
      </c>
      <c r="E213" s="7">
        <v>3.51</v>
      </c>
    </row>
    <row r="214" spans="1:5" x14ac:dyDescent="0.25">
      <c r="A214" s="68"/>
      <c r="B214" s="7">
        <v>3.75</v>
      </c>
      <c r="C214" s="7">
        <v>3.8</v>
      </c>
      <c r="D214" s="7">
        <v>3.4</v>
      </c>
      <c r="E214" s="7">
        <v>2</v>
      </c>
    </row>
    <row r="215" spans="1:5" x14ac:dyDescent="0.25">
      <c r="A215" s="68"/>
      <c r="B215" s="7">
        <v>3.7</v>
      </c>
      <c r="C215" s="7">
        <v>4.12</v>
      </c>
      <c r="D215" s="7">
        <v>3.73</v>
      </c>
      <c r="E215" s="7">
        <v>3.62</v>
      </c>
    </row>
    <row r="216" spans="1:5" x14ac:dyDescent="0.25">
      <c r="A216" s="68" t="s">
        <v>85</v>
      </c>
      <c r="B216" s="7" cm="1">
        <f t="array" ref="B216:B230">N3:N17</f>
        <v>3.33</v>
      </c>
      <c r="C216" s="7" cm="1">
        <f t="array" ref="C216:C230">AD3:AD17</f>
        <v>3.44</v>
      </c>
      <c r="D216" s="7" cm="1">
        <f t="array" ref="D216:D230">AT3:AT17</f>
        <v>4.32</v>
      </c>
      <c r="E216" s="7" cm="1">
        <f t="array" ref="E216:E230">BJ3:BJ17</f>
        <v>2.92</v>
      </c>
    </row>
    <row r="217" spans="1:5" x14ac:dyDescent="0.25">
      <c r="A217" s="68"/>
      <c r="B217" s="7">
        <v>3.32</v>
      </c>
      <c r="C217" s="7">
        <v>3.75</v>
      </c>
      <c r="D217" s="7">
        <v>3.61</v>
      </c>
      <c r="E217" s="7">
        <v>3.3</v>
      </c>
    </row>
    <row r="218" spans="1:5" x14ac:dyDescent="0.25">
      <c r="A218" s="68"/>
      <c r="B218" s="7">
        <v>3.11</v>
      </c>
      <c r="C218" s="7">
        <v>3.44</v>
      </c>
      <c r="D218" s="7">
        <v>3.65</v>
      </c>
      <c r="E218" s="7">
        <v>3.9</v>
      </c>
    </row>
    <row r="219" spans="1:5" x14ac:dyDescent="0.25">
      <c r="A219" s="68"/>
      <c r="B219" s="7">
        <v>3.59</v>
      </c>
      <c r="C219" s="7">
        <v>3.67</v>
      </c>
      <c r="D219" s="7">
        <v>3.97</v>
      </c>
      <c r="E219" s="7">
        <v>3.44</v>
      </c>
    </row>
    <row r="220" spans="1:5" x14ac:dyDescent="0.25">
      <c r="A220" s="68"/>
      <c r="B220" s="7">
        <v>3.86</v>
      </c>
      <c r="C220" s="7">
        <v>3.25</v>
      </c>
      <c r="D220" s="7">
        <v>3.61</v>
      </c>
      <c r="E220" s="7">
        <v>3.39</v>
      </c>
    </row>
    <row r="221" spans="1:5" x14ac:dyDescent="0.25">
      <c r="A221" s="68"/>
      <c r="B221" s="7">
        <v>3.63</v>
      </c>
      <c r="C221" s="7">
        <v>3.37</v>
      </c>
      <c r="D221" s="7">
        <v>4.28</v>
      </c>
      <c r="E221" s="7">
        <v>3.89</v>
      </c>
    </row>
    <row r="222" spans="1:5" x14ac:dyDescent="0.25">
      <c r="A222" s="68"/>
      <c r="B222" s="7">
        <v>3.9</v>
      </c>
      <c r="C222" s="7">
        <v>3.9</v>
      </c>
      <c r="D222" s="7">
        <v>4</v>
      </c>
      <c r="E222" s="7">
        <v>3.63</v>
      </c>
    </row>
    <row r="223" spans="1:5" x14ac:dyDescent="0.25">
      <c r="A223" s="68"/>
      <c r="B223" s="7">
        <v>3.38</v>
      </c>
      <c r="C223" s="7">
        <v>4.04</v>
      </c>
      <c r="D223" s="7">
        <v>3.61</v>
      </c>
      <c r="E223" s="7">
        <v>3.58</v>
      </c>
    </row>
    <row r="224" spans="1:5" x14ac:dyDescent="0.25">
      <c r="A224" s="68"/>
      <c r="B224" s="7">
        <v>3.49</v>
      </c>
      <c r="C224" s="7">
        <v>3.43</v>
      </c>
      <c r="D224" s="7">
        <v>3.32</v>
      </c>
      <c r="E224" s="7">
        <v>3.97</v>
      </c>
    </row>
    <row r="225" spans="1:5" x14ac:dyDescent="0.25">
      <c r="A225" s="68"/>
      <c r="B225" s="7">
        <v>3.73</v>
      </c>
      <c r="C225" s="7">
        <v>3.15</v>
      </c>
      <c r="D225" s="7">
        <v>3.64</v>
      </c>
      <c r="E225" s="7">
        <v>3.14</v>
      </c>
    </row>
    <row r="226" spans="1:5" x14ac:dyDescent="0.25">
      <c r="A226" s="68"/>
      <c r="B226" s="7">
        <v>3.57</v>
      </c>
      <c r="C226" s="7">
        <v>3.51</v>
      </c>
      <c r="D226" s="7">
        <v>3.52</v>
      </c>
      <c r="E226" s="7">
        <v>3.79</v>
      </c>
    </row>
    <row r="227" spans="1:5" x14ac:dyDescent="0.25">
      <c r="A227" s="68"/>
      <c r="B227" s="7">
        <v>3.33</v>
      </c>
      <c r="C227" s="7">
        <v>3.38</v>
      </c>
      <c r="D227" s="7">
        <v>3.32</v>
      </c>
      <c r="E227" s="7">
        <v>3.09</v>
      </c>
    </row>
    <row r="228" spans="1:5" x14ac:dyDescent="0.25">
      <c r="A228" s="68"/>
      <c r="B228" s="7">
        <v>3.23</v>
      </c>
      <c r="C228" s="7">
        <v>3.69</v>
      </c>
      <c r="D228" s="7">
        <v>3</v>
      </c>
      <c r="E228" s="7">
        <v>3.82</v>
      </c>
    </row>
    <row r="229" spans="1:5" x14ac:dyDescent="0.25">
      <c r="A229" s="68"/>
      <c r="B229" s="7">
        <v>2</v>
      </c>
      <c r="C229" s="7">
        <v>3.3</v>
      </c>
      <c r="D229" s="7">
        <v>4.07</v>
      </c>
      <c r="E229" s="7">
        <v>2.82</v>
      </c>
    </row>
    <row r="230" spans="1:5" x14ac:dyDescent="0.25">
      <c r="A230" s="68"/>
      <c r="B230" s="7">
        <v>4.05</v>
      </c>
      <c r="C230" s="7">
        <v>4</v>
      </c>
      <c r="D230" s="7">
        <v>3.32</v>
      </c>
      <c r="E230" s="7">
        <v>3.9</v>
      </c>
    </row>
    <row r="231" spans="1:5" x14ac:dyDescent="0.25">
      <c r="A231" s="68" t="s">
        <v>86</v>
      </c>
      <c r="B231" s="7" cm="1">
        <f t="array" ref="B231:B245">O3:O17</f>
        <v>3.64</v>
      </c>
      <c r="C231" s="7" cm="1">
        <f t="array" ref="C231:C245">AE3:AE17</f>
        <v>2.94</v>
      </c>
      <c r="D231" s="7" cm="1">
        <f t="array" ref="D231:D245">AU3:AU17</f>
        <v>4.07</v>
      </c>
      <c r="E231" s="7" cm="1">
        <f t="array" ref="E231:E245">BK3:BK17</f>
        <v>2.61</v>
      </c>
    </row>
    <row r="232" spans="1:5" x14ac:dyDescent="0.25">
      <c r="A232" s="68"/>
      <c r="B232" s="7">
        <v>3.3</v>
      </c>
      <c r="C232" s="7">
        <v>3.9</v>
      </c>
      <c r="D232" s="7">
        <v>2.77</v>
      </c>
      <c r="E232" s="7">
        <v>3.78</v>
      </c>
    </row>
    <row r="233" spans="1:5" x14ac:dyDescent="0.25">
      <c r="A233" s="68"/>
      <c r="B233" s="7">
        <v>3.49</v>
      </c>
      <c r="C233" s="7">
        <v>3.43</v>
      </c>
      <c r="D233" s="7">
        <v>3.28</v>
      </c>
      <c r="E233" s="7">
        <v>3.33</v>
      </c>
    </row>
    <row r="234" spans="1:5" x14ac:dyDescent="0.25">
      <c r="A234" s="68"/>
      <c r="B234" s="7">
        <v>3.72</v>
      </c>
      <c r="C234" s="7">
        <v>3.5</v>
      </c>
      <c r="D234" s="7">
        <v>3.95</v>
      </c>
      <c r="E234" s="7">
        <v>3.65</v>
      </c>
    </row>
    <row r="235" spans="1:5" x14ac:dyDescent="0.25">
      <c r="A235" s="68"/>
      <c r="B235" s="7">
        <v>3.62</v>
      </c>
      <c r="C235" s="7">
        <v>3.31</v>
      </c>
      <c r="D235" s="7">
        <v>3.59</v>
      </c>
      <c r="E235" s="7">
        <v>3.88</v>
      </c>
    </row>
    <row r="236" spans="1:5" x14ac:dyDescent="0.25">
      <c r="A236" s="68"/>
      <c r="B236" s="7">
        <v>3.9</v>
      </c>
      <c r="C236" s="7">
        <v>3.75</v>
      </c>
      <c r="D236" s="7">
        <v>3.71</v>
      </c>
      <c r="E236" s="7">
        <v>3.86</v>
      </c>
    </row>
    <row r="237" spans="1:5" x14ac:dyDescent="0.25">
      <c r="A237" s="68"/>
      <c r="B237" s="7">
        <v>3.35</v>
      </c>
      <c r="C237" s="7">
        <v>3.26</v>
      </c>
      <c r="D237" s="7">
        <v>3.84</v>
      </c>
      <c r="E237" s="7">
        <v>3.19</v>
      </c>
    </row>
    <row r="238" spans="1:5" x14ac:dyDescent="0.25">
      <c r="A238" s="68"/>
      <c r="B238" s="7">
        <v>3.09</v>
      </c>
      <c r="C238" s="7">
        <v>4.2300000000000004</v>
      </c>
      <c r="D238" s="7">
        <v>3.65</v>
      </c>
      <c r="E238" s="7">
        <v>3.46</v>
      </c>
    </row>
    <row r="239" spans="1:5" x14ac:dyDescent="0.25">
      <c r="A239" s="68"/>
      <c r="B239" s="7">
        <v>3.31</v>
      </c>
      <c r="C239" s="7">
        <v>3.32</v>
      </c>
      <c r="D239" s="7">
        <v>3.32</v>
      </c>
      <c r="E239" s="7">
        <v>2.99</v>
      </c>
    </row>
    <row r="240" spans="1:5" x14ac:dyDescent="0.25">
      <c r="A240" s="68"/>
      <c r="B240" s="7">
        <v>4.08</v>
      </c>
      <c r="C240" s="7">
        <v>3.69</v>
      </c>
      <c r="D240" s="7">
        <v>4.28</v>
      </c>
      <c r="E240" s="7">
        <v>3.2</v>
      </c>
    </row>
    <row r="241" spans="1:5" x14ac:dyDescent="0.25">
      <c r="A241" s="68"/>
      <c r="B241" s="7">
        <v>3.14</v>
      </c>
      <c r="C241" s="7">
        <v>3.34</v>
      </c>
      <c r="D241" s="7">
        <v>3.18</v>
      </c>
      <c r="E241" s="7">
        <v>3.4</v>
      </c>
    </row>
    <row r="242" spans="1:5" x14ac:dyDescent="0.25">
      <c r="A242" s="68"/>
      <c r="B242" s="7">
        <v>3.38</v>
      </c>
      <c r="C242" s="7">
        <v>3.72</v>
      </c>
      <c r="D242" s="7">
        <v>3.65</v>
      </c>
      <c r="E242" s="7">
        <v>3.71</v>
      </c>
    </row>
    <row r="243" spans="1:5" x14ac:dyDescent="0.25">
      <c r="A243" s="68"/>
      <c r="B243" s="7">
        <v>3.28</v>
      </c>
      <c r="C243" s="7">
        <v>3.7</v>
      </c>
      <c r="D243" s="7">
        <v>4.45</v>
      </c>
      <c r="E243" s="7">
        <v>3.61</v>
      </c>
    </row>
    <row r="244" spans="1:5" x14ac:dyDescent="0.25">
      <c r="A244" s="68"/>
      <c r="B244" s="7">
        <v>3.87</v>
      </c>
      <c r="C244" s="7">
        <v>3.55</v>
      </c>
      <c r="D244" s="7">
        <v>4.4400000000000004</v>
      </c>
      <c r="E244" s="7">
        <v>3.13</v>
      </c>
    </row>
    <row r="245" spans="1:5" x14ac:dyDescent="0.25">
      <c r="A245" s="68"/>
      <c r="B245" s="7">
        <v>3</v>
      </c>
      <c r="C245" s="7">
        <v>4</v>
      </c>
      <c r="D245" s="7">
        <v>4</v>
      </c>
      <c r="E245" s="7">
        <v>4.08</v>
      </c>
    </row>
    <row r="246" spans="1:5" x14ac:dyDescent="0.25">
      <c r="A246" s="68" t="s">
        <v>87</v>
      </c>
      <c r="B246" s="7" cm="1">
        <f t="array" ref="B246:B260">P3:P17</f>
        <v>3.37</v>
      </c>
      <c r="C246" s="7" cm="1">
        <f t="array" ref="C246:C260">AF3:AF17</f>
        <v>3.81</v>
      </c>
      <c r="D246" s="7" cm="1">
        <f t="array" ref="D246:D260">AV3:AV17</f>
        <v>4.4000000000000004</v>
      </c>
      <c r="E246" s="7" cm="1">
        <f t="array" ref="E246:E260">BL3:BL17</f>
        <v>3.3</v>
      </c>
    </row>
    <row r="247" spans="1:5" x14ac:dyDescent="0.25">
      <c r="A247" s="68"/>
      <c r="B247" s="7">
        <v>3.32</v>
      </c>
      <c r="C247" s="7">
        <v>3.39</v>
      </c>
      <c r="D247" s="7">
        <v>4.41</v>
      </c>
      <c r="E247" s="7">
        <v>3.4</v>
      </c>
    </row>
    <row r="248" spans="1:5" x14ac:dyDescent="0.25">
      <c r="A248" s="68"/>
      <c r="B248" s="7">
        <v>4.16</v>
      </c>
      <c r="C248" s="7">
        <v>3.69</v>
      </c>
      <c r="D248" s="7">
        <v>3.03</v>
      </c>
      <c r="E248" s="7">
        <v>3.79</v>
      </c>
    </row>
    <row r="249" spans="1:5" x14ac:dyDescent="0.25">
      <c r="A249" s="68"/>
      <c r="B249" s="7">
        <v>3.22</v>
      </c>
      <c r="C249" s="7">
        <v>3.71</v>
      </c>
      <c r="D249" s="7">
        <v>3.93</v>
      </c>
      <c r="E249" s="7">
        <v>3.9</v>
      </c>
    </row>
    <row r="250" spans="1:5" x14ac:dyDescent="0.25">
      <c r="A250" s="68"/>
      <c r="B250" s="7">
        <v>3.57</v>
      </c>
      <c r="C250" s="7">
        <v>3.21</v>
      </c>
      <c r="D250" s="7">
        <v>3.27</v>
      </c>
      <c r="E250" s="7">
        <v>3.65</v>
      </c>
    </row>
    <row r="251" spans="1:5" x14ac:dyDescent="0.25">
      <c r="A251" s="68"/>
      <c r="B251" s="7">
        <v>3.78</v>
      </c>
      <c r="C251" s="7">
        <v>3.53</v>
      </c>
      <c r="D251" s="7">
        <v>3.42</v>
      </c>
      <c r="E251" s="7">
        <v>3.02</v>
      </c>
    </row>
    <row r="252" spans="1:5" x14ac:dyDescent="0.25">
      <c r="A252" s="68"/>
      <c r="B252" s="7">
        <v>3.03</v>
      </c>
      <c r="C252" s="7">
        <v>3.9</v>
      </c>
      <c r="D252" s="7">
        <v>2.82</v>
      </c>
      <c r="E252" s="7">
        <v>3.75</v>
      </c>
    </row>
    <row r="253" spans="1:5" x14ac:dyDescent="0.25">
      <c r="A253" s="68"/>
      <c r="B253" s="7">
        <v>3.61</v>
      </c>
      <c r="C253" s="7">
        <v>3.58</v>
      </c>
      <c r="D253" s="7">
        <v>4.2300000000000004</v>
      </c>
      <c r="E253" s="7">
        <v>3.3</v>
      </c>
    </row>
    <row r="254" spans="1:5" x14ac:dyDescent="0.25">
      <c r="A254" s="68"/>
      <c r="B254" s="7">
        <v>3.63</v>
      </c>
      <c r="C254" s="7">
        <v>3.07</v>
      </c>
      <c r="D254" s="7">
        <v>3.2</v>
      </c>
      <c r="E254" s="7">
        <v>3.4</v>
      </c>
    </row>
    <row r="255" spans="1:5" x14ac:dyDescent="0.25">
      <c r="A255" s="68"/>
      <c r="B255" s="7">
        <v>3.5</v>
      </c>
      <c r="C255" s="7">
        <v>3.58</v>
      </c>
      <c r="D255" s="7">
        <v>4.8499999999999996</v>
      </c>
      <c r="E255" s="7">
        <v>2.96</v>
      </c>
    </row>
    <row r="256" spans="1:5" x14ac:dyDescent="0.25">
      <c r="A256" s="68"/>
      <c r="B256" s="7">
        <v>3.41</v>
      </c>
      <c r="C256" s="7">
        <v>3.31</v>
      </c>
      <c r="D256" s="7">
        <v>3.78</v>
      </c>
      <c r="E256" s="7">
        <v>3.57</v>
      </c>
    </row>
    <row r="257" spans="1:5" x14ac:dyDescent="0.25">
      <c r="A257" s="68"/>
      <c r="B257" s="7">
        <v>3.46</v>
      </c>
      <c r="C257" s="7">
        <v>3.86</v>
      </c>
      <c r="D257" s="7">
        <v>2.68</v>
      </c>
      <c r="E257" s="7">
        <v>3.18</v>
      </c>
    </row>
    <row r="258" spans="1:5" x14ac:dyDescent="0.25">
      <c r="A258" s="68"/>
      <c r="B258" s="7">
        <v>3.2</v>
      </c>
      <c r="C258" s="7">
        <v>4.1900000000000004</v>
      </c>
      <c r="D258" s="7">
        <v>3.74</v>
      </c>
      <c r="E258" s="7">
        <v>3.45</v>
      </c>
    </row>
    <row r="259" spans="1:5" x14ac:dyDescent="0.25">
      <c r="A259" s="68"/>
      <c r="B259" s="7">
        <v>3.02</v>
      </c>
      <c r="C259" s="7">
        <v>3.62</v>
      </c>
      <c r="D259" s="7">
        <v>3.35</v>
      </c>
      <c r="E259" s="7">
        <v>3.56</v>
      </c>
    </row>
    <row r="260" spans="1:5" x14ac:dyDescent="0.25">
      <c r="A260" s="68"/>
      <c r="B260" s="7">
        <v>2.6</v>
      </c>
      <c r="C260" s="7">
        <v>3.9</v>
      </c>
      <c r="D260" s="7">
        <v>3.9</v>
      </c>
      <c r="E260" s="7">
        <v>3.9</v>
      </c>
    </row>
  </sheetData>
  <mergeCells count="28">
    <mergeCell ref="A126:A140"/>
    <mergeCell ref="A1:P1"/>
    <mergeCell ref="Q1:AF1"/>
    <mergeCell ref="AG1:AV1"/>
    <mergeCell ref="AW1:BL1"/>
    <mergeCell ref="A21:A35"/>
    <mergeCell ref="A36:A50"/>
    <mergeCell ref="A51:A65"/>
    <mergeCell ref="A66:A80"/>
    <mergeCell ref="A81:A95"/>
    <mergeCell ref="A96:A110"/>
    <mergeCell ref="A111:A125"/>
    <mergeCell ref="A231:A245"/>
    <mergeCell ref="A246:A260"/>
    <mergeCell ref="O29:O30"/>
    <mergeCell ref="O31:O32"/>
    <mergeCell ref="O33:O34"/>
    <mergeCell ref="O35:O36"/>
    <mergeCell ref="G42:H42"/>
    <mergeCell ref="I42:J42"/>
    <mergeCell ref="K42:L42"/>
    <mergeCell ref="M42:N42"/>
    <mergeCell ref="A141:A155"/>
    <mergeCell ref="A156:A170"/>
    <mergeCell ref="A171:A185"/>
    <mergeCell ref="A186:A200"/>
    <mergeCell ref="A201:A215"/>
    <mergeCell ref="A216:A230"/>
  </mergeCells>
  <conditionalFormatting sqref="A3:P17">
    <cfRule type="cellIs" dxfId="7" priority="4" operator="between">
      <formula>2</formula>
      <formula>4</formula>
    </cfRule>
  </conditionalFormatting>
  <conditionalFormatting sqref="Q3:AF17">
    <cfRule type="cellIs" dxfId="6" priority="3" operator="between">
      <formula>2</formula>
      <formula>4</formula>
    </cfRule>
  </conditionalFormatting>
  <conditionalFormatting sqref="AG3:AV17">
    <cfRule type="cellIs" dxfId="5" priority="2" operator="between">
      <formula>2</formula>
      <formula>4</formula>
    </cfRule>
  </conditionalFormatting>
  <conditionalFormatting sqref="AW3:BL17">
    <cfRule type="cellIs" dxfId="4" priority="1" operator="between">
      <formula>2</formula>
      <formula>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CCFC9-028E-46EF-A2FC-1556C3D14BC2}">
  <sheetPr codeName="Sheet5"/>
  <dimension ref="A1:BL260"/>
  <sheetViews>
    <sheetView topLeftCell="A12" workbookViewId="0">
      <selection activeCell="Q22" sqref="Q22:Q26"/>
    </sheetView>
  </sheetViews>
  <sheetFormatPr defaultRowHeight="15" x14ac:dyDescent="0.25"/>
  <cols>
    <col min="3" max="3" width="10.7109375" bestFit="1" customWidth="1"/>
    <col min="5" max="5" width="11.7109375" bestFit="1" customWidth="1"/>
    <col min="7" max="7" width="18.7109375" customWidth="1"/>
    <col min="8" max="8" width="7.28515625" bestFit="1" customWidth="1"/>
    <col min="9" max="9" width="18" bestFit="1" customWidth="1"/>
    <col min="10" max="10" width="8.5703125" bestFit="1" customWidth="1"/>
    <col min="11" max="11" width="18" bestFit="1" customWidth="1"/>
    <col min="12" max="12" width="8.28515625" bestFit="1" customWidth="1"/>
    <col min="13" max="13" width="18" bestFit="1" customWidth="1"/>
    <col min="14" max="14" width="6.5703125" bestFit="1" customWidth="1"/>
    <col min="15" max="15" width="14.85546875" customWidth="1"/>
    <col min="16" max="16" width="24.140625" bestFit="1" customWidth="1"/>
    <col min="17" max="17" width="21.5703125" bestFit="1" customWidth="1"/>
  </cols>
  <sheetData>
    <row r="1" spans="1:64" ht="15.75" thickBot="1" x14ac:dyDescent="0.3">
      <c r="A1" s="74" t="s">
        <v>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 t="s">
        <v>4</v>
      </c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 t="s">
        <v>6</v>
      </c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 t="s">
        <v>9</v>
      </c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6"/>
    </row>
    <row r="2" spans="1:64" x14ac:dyDescent="0.25">
      <c r="A2" s="12" t="s">
        <v>72</v>
      </c>
      <c r="B2" s="12" t="s">
        <v>73</v>
      </c>
      <c r="C2" s="12" t="s">
        <v>74</v>
      </c>
      <c r="D2" s="12" t="s">
        <v>75</v>
      </c>
      <c r="E2" s="12" t="s">
        <v>76</v>
      </c>
      <c r="F2" s="12" t="s">
        <v>77</v>
      </c>
      <c r="G2" s="12" t="s">
        <v>78</v>
      </c>
      <c r="H2" s="12" t="s">
        <v>79</v>
      </c>
      <c r="I2" s="12" t="s">
        <v>80</v>
      </c>
      <c r="J2" s="12" t="s">
        <v>81</v>
      </c>
      <c r="K2" s="12" t="s">
        <v>82</v>
      </c>
      <c r="L2" s="12" t="s">
        <v>83</v>
      </c>
      <c r="M2" s="12" t="s">
        <v>84</v>
      </c>
      <c r="N2" s="12" t="s">
        <v>85</v>
      </c>
      <c r="O2" s="12" t="s">
        <v>86</v>
      </c>
      <c r="P2" s="12" t="s">
        <v>87</v>
      </c>
      <c r="Q2" s="12" t="s">
        <v>72</v>
      </c>
      <c r="R2" s="12" t="s">
        <v>73</v>
      </c>
      <c r="S2" s="12" t="s">
        <v>74</v>
      </c>
      <c r="T2" s="12" t="s">
        <v>75</v>
      </c>
      <c r="U2" s="12" t="s">
        <v>76</v>
      </c>
      <c r="V2" s="12" t="s">
        <v>77</v>
      </c>
      <c r="W2" s="12" t="s">
        <v>78</v>
      </c>
      <c r="X2" s="12" t="s">
        <v>79</v>
      </c>
      <c r="Y2" s="12" t="s">
        <v>80</v>
      </c>
      <c r="Z2" s="12" t="s">
        <v>81</v>
      </c>
      <c r="AA2" s="12" t="s">
        <v>82</v>
      </c>
      <c r="AB2" s="12" t="s">
        <v>83</v>
      </c>
      <c r="AC2" s="12" t="s">
        <v>84</v>
      </c>
      <c r="AD2" s="12" t="s">
        <v>85</v>
      </c>
      <c r="AE2" s="12" t="s">
        <v>86</v>
      </c>
      <c r="AF2" s="12" t="s">
        <v>87</v>
      </c>
      <c r="AG2" s="12" t="s">
        <v>72</v>
      </c>
      <c r="AH2" s="12" t="s">
        <v>73</v>
      </c>
      <c r="AI2" s="12" t="s">
        <v>74</v>
      </c>
      <c r="AJ2" s="12" t="s">
        <v>75</v>
      </c>
      <c r="AK2" s="12" t="s">
        <v>76</v>
      </c>
      <c r="AL2" s="12" t="s">
        <v>77</v>
      </c>
      <c r="AM2" s="12" t="s">
        <v>78</v>
      </c>
      <c r="AN2" s="12" t="s">
        <v>79</v>
      </c>
      <c r="AO2" s="12" t="s">
        <v>80</v>
      </c>
      <c r="AP2" s="12" t="s">
        <v>81</v>
      </c>
      <c r="AQ2" s="12" t="s">
        <v>82</v>
      </c>
      <c r="AR2" s="12" t="s">
        <v>83</v>
      </c>
      <c r="AS2" s="12" t="s">
        <v>84</v>
      </c>
      <c r="AT2" s="12" t="s">
        <v>85</v>
      </c>
      <c r="AU2" s="12" t="s">
        <v>86</v>
      </c>
      <c r="AV2" s="12" t="s">
        <v>87</v>
      </c>
      <c r="AW2" s="12" t="s">
        <v>72</v>
      </c>
      <c r="AX2" s="12" t="s">
        <v>73</v>
      </c>
      <c r="AY2" s="12" t="s">
        <v>74</v>
      </c>
      <c r="AZ2" s="12" t="s">
        <v>75</v>
      </c>
      <c r="BA2" s="12" t="s">
        <v>76</v>
      </c>
      <c r="BB2" s="12" t="s">
        <v>77</v>
      </c>
      <c r="BC2" s="12" t="s">
        <v>78</v>
      </c>
      <c r="BD2" s="12" t="s">
        <v>79</v>
      </c>
      <c r="BE2" s="12" t="s">
        <v>80</v>
      </c>
      <c r="BF2" s="12" t="s">
        <v>81</v>
      </c>
      <c r="BG2" s="12" t="s">
        <v>82</v>
      </c>
      <c r="BH2" s="12" t="s">
        <v>83</v>
      </c>
      <c r="BI2" s="12" t="s">
        <v>84</v>
      </c>
      <c r="BJ2" s="12" t="s">
        <v>85</v>
      </c>
      <c r="BK2" s="12" t="s">
        <v>86</v>
      </c>
      <c r="BL2" s="12" t="s">
        <v>87</v>
      </c>
    </row>
    <row r="3" spans="1:64" x14ac:dyDescent="0.25">
      <c r="A3" s="10">
        <v>2</v>
      </c>
      <c r="B3" s="10">
        <v>3.34</v>
      </c>
      <c r="C3" s="10">
        <v>2.91</v>
      </c>
      <c r="D3" s="10">
        <v>3.07</v>
      </c>
      <c r="E3" s="10">
        <v>4.3099999999999996</v>
      </c>
      <c r="F3" s="10">
        <v>4.45</v>
      </c>
      <c r="G3" s="10">
        <v>4.67</v>
      </c>
      <c r="H3" s="10">
        <v>3.82</v>
      </c>
      <c r="I3" s="10">
        <v>3.1</v>
      </c>
      <c r="J3" s="10">
        <v>3.75</v>
      </c>
      <c r="K3" s="10">
        <v>3.21</v>
      </c>
      <c r="L3" s="10">
        <v>3.17</v>
      </c>
      <c r="M3" s="10">
        <v>3.19</v>
      </c>
      <c r="N3" s="10">
        <v>3.33</v>
      </c>
      <c r="O3" s="10">
        <v>3.64</v>
      </c>
      <c r="P3" s="10">
        <v>3.37</v>
      </c>
      <c r="Q3" s="10">
        <v>3.9</v>
      </c>
      <c r="R3" s="10">
        <v>3.75</v>
      </c>
      <c r="S3" s="10">
        <v>3.38</v>
      </c>
      <c r="T3" s="10">
        <v>3.38</v>
      </c>
      <c r="U3" s="10">
        <v>3.93</v>
      </c>
      <c r="V3" s="10">
        <v>5.0599999999999996</v>
      </c>
      <c r="W3" s="10">
        <v>5.15</v>
      </c>
      <c r="X3" s="10">
        <v>4.83</v>
      </c>
      <c r="Y3" s="10">
        <v>3.93</v>
      </c>
      <c r="Z3" s="10">
        <v>3.28</v>
      </c>
      <c r="AA3" s="10">
        <v>3.97</v>
      </c>
      <c r="AB3" s="10">
        <v>3.39</v>
      </c>
      <c r="AC3" s="10">
        <v>3.13</v>
      </c>
      <c r="AD3" s="10">
        <v>3.75</v>
      </c>
      <c r="AE3" s="10">
        <v>3.9</v>
      </c>
      <c r="AF3" s="10">
        <v>3.39</v>
      </c>
      <c r="AG3" s="10">
        <v>3.81</v>
      </c>
      <c r="AH3" s="10">
        <v>3.9</v>
      </c>
      <c r="AI3" s="10">
        <v>3.56</v>
      </c>
      <c r="AJ3" s="10">
        <v>3.86</v>
      </c>
      <c r="AK3" s="10">
        <v>4.9000000000000004</v>
      </c>
      <c r="AL3" s="10">
        <v>4.12</v>
      </c>
      <c r="AM3" s="10">
        <v>4.41</v>
      </c>
      <c r="AN3" s="10">
        <v>4.9400000000000004</v>
      </c>
      <c r="AO3" s="10">
        <v>3.49</v>
      </c>
      <c r="AP3" s="10">
        <v>3.62</v>
      </c>
      <c r="AQ3" s="10">
        <v>3.35</v>
      </c>
      <c r="AR3" s="10">
        <v>2.98</v>
      </c>
      <c r="AS3" s="10">
        <v>3.61</v>
      </c>
      <c r="AT3" s="10">
        <v>3.44</v>
      </c>
      <c r="AU3" s="10">
        <v>3.43</v>
      </c>
      <c r="AV3" s="10">
        <v>3.69</v>
      </c>
      <c r="AW3" s="10">
        <v>3.8</v>
      </c>
      <c r="AX3" s="10">
        <v>4.7300000000000004</v>
      </c>
      <c r="AY3" s="10">
        <v>2</v>
      </c>
      <c r="AZ3" s="10">
        <v>4.72</v>
      </c>
      <c r="BA3" s="10">
        <v>3.95</v>
      </c>
      <c r="BB3" s="10">
        <v>4.66</v>
      </c>
      <c r="BC3" s="10">
        <v>5.1100000000000003</v>
      </c>
      <c r="BD3" s="10">
        <v>6.17</v>
      </c>
      <c r="BE3" s="10">
        <v>3.01</v>
      </c>
      <c r="BF3" s="10">
        <v>3.51</v>
      </c>
      <c r="BG3" s="10">
        <v>3.38</v>
      </c>
      <c r="BH3" s="10">
        <v>3.78</v>
      </c>
      <c r="BI3" s="10">
        <v>3.39</v>
      </c>
      <c r="BJ3" s="10">
        <v>3.61</v>
      </c>
      <c r="BK3" s="10">
        <v>2.77</v>
      </c>
      <c r="BL3" s="10">
        <v>4.41</v>
      </c>
    </row>
    <row r="4" spans="1:64" x14ac:dyDescent="0.25">
      <c r="A4" s="10">
        <v>3</v>
      </c>
      <c r="B4" s="10">
        <v>3.49</v>
      </c>
      <c r="C4" s="10">
        <v>3.45</v>
      </c>
      <c r="D4" s="10">
        <v>3.49</v>
      </c>
      <c r="E4" s="10">
        <v>4.6399999999999997</v>
      </c>
      <c r="F4" s="10">
        <v>5.34</v>
      </c>
      <c r="G4" s="10">
        <v>3.81</v>
      </c>
      <c r="H4" s="10">
        <v>5.01</v>
      </c>
      <c r="I4" s="10">
        <v>3.57</v>
      </c>
      <c r="J4" s="10">
        <v>3.76</v>
      </c>
      <c r="K4" s="10">
        <v>3.74</v>
      </c>
      <c r="L4" s="10">
        <v>3.71</v>
      </c>
      <c r="M4" s="10">
        <v>3.7</v>
      </c>
      <c r="N4" s="10">
        <v>2.92</v>
      </c>
      <c r="O4" s="10">
        <v>2.61</v>
      </c>
      <c r="P4" s="10">
        <v>3.3</v>
      </c>
      <c r="Q4" s="10">
        <v>3.24</v>
      </c>
      <c r="R4" s="10">
        <v>2</v>
      </c>
      <c r="S4" s="10">
        <v>3.92</v>
      </c>
      <c r="T4" s="10">
        <v>3.54</v>
      </c>
      <c r="U4" s="10">
        <v>5</v>
      </c>
      <c r="V4" s="10">
        <v>5.78</v>
      </c>
      <c r="W4" s="10">
        <v>5.53</v>
      </c>
      <c r="X4" s="10">
        <v>4.3499999999999996</v>
      </c>
      <c r="Y4" s="10">
        <v>3.39</v>
      </c>
      <c r="Z4" s="10">
        <v>3.36</v>
      </c>
      <c r="AA4" s="10">
        <v>3.65</v>
      </c>
      <c r="AB4" s="10">
        <v>2.8</v>
      </c>
      <c r="AC4" s="10">
        <v>3.52</v>
      </c>
      <c r="AD4" s="10">
        <v>3.32</v>
      </c>
      <c r="AE4" s="10">
        <v>3.3</v>
      </c>
      <c r="AF4" s="10">
        <v>3.32</v>
      </c>
      <c r="AG4" s="10">
        <v>3.19</v>
      </c>
      <c r="AH4" s="10">
        <v>3.5</v>
      </c>
      <c r="AI4" s="10">
        <v>2.99</v>
      </c>
      <c r="AJ4" s="10">
        <v>3.73</v>
      </c>
      <c r="AK4" s="10">
        <v>3.99</v>
      </c>
      <c r="AL4" s="10">
        <v>5.75</v>
      </c>
      <c r="AM4" s="10">
        <v>4.4800000000000004</v>
      </c>
      <c r="AN4" s="10">
        <v>4.0999999999999996</v>
      </c>
      <c r="AO4" s="10">
        <v>3.69</v>
      </c>
      <c r="AP4" s="10">
        <v>3.98</v>
      </c>
      <c r="AQ4" s="10">
        <v>4.03</v>
      </c>
      <c r="AR4" s="10">
        <v>3.82</v>
      </c>
      <c r="AS4" s="10">
        <v>3.27</v>
      </c>
      <c r="AT4" s="10">
        <v>3.9</v>
      </c>
      <c r="AU4" s="10">
        <v>3.33</v>
      </c>
      <c r="AV4" s="10">
        <v>3.79</v>
      </c>
      <c r="AW4" s="10">
        <v>4.42</v>
      </c>
      <c r="AX4" s="10">
        <v>4</v>
      </c>
      <c r="AY4" s="10">
        <v>3.91</v>
      </c>
      <c r="AZ4" s="10">
        <v>4.26</v>
      </c>
      <c r="BA4" s="10">
        <v>7.63</v>
      </c>
      <c r="BB4" s="10">
        <v>4.47</v>
      </c>
      <c r="BC4" s="10">
        <v>4.9400000000000004</v>
      </c>
      <c r="BD4" s="10">
        <v>4.18</v>
      </c>
      <c r="BE4" s="10">
        <v>4.0999999999999996</v>
      </c>
      <c r="BF4" s="10">
        <v>4.0599999999999996</v>
      </c>
      <c r="BG4" s="10">
        <v>4.42</v>
      </c>
      <c r="BH4" s="10">
        <v>3.51</v>
      </c>
      <c r="BI4" s="10">
        <v>4.2300000000000004</v>
      </c>
      <c r="BJ4" s="10">
        <v>3.67</v>
      </c>
      <c r="BK4" s="10">
        <v>3.5</v>
      </c>
      <c r="BL4" s="10">
        <v>3.71</v>
      </c>
    </row>
    <row r="5" spans="1:64" x14ac:dyDescent="0.25">
      <c r="A5" s="10">
        <v>3.9</v>
      </c>
      <c r="B5" s="10">
        <v>3.71</v>
      </c>
      <c r="C5" s="10">
        <v>3.4</v>
      </c>
      <c r="D5" s="10">
        <v>3.81</v>
      </c>
      <c r="E5" s="10">
        <v>4.2699999999999996</v>
      </c>
      <c r="F5" s="10">
        <v>4.7699999999999996</v>
      </c>
      <c r="G5" s="10">
        <v>5.6</v>
      </c>
      <c r="H5" s="10">
        <v>4.34</v>
      </c>
      <c r="I5" s="10">
        <v>3.36</v>
      </c>
      <c r="J5" s="10">
        <v>3.22</v>
      </c>
      <c r="K5" s="10">
        <v>4.0199999999999996</v>
      </c>
      <c r="L5" s="10">
        <v>3.61</v>
      </c>
      <c r="M5" s="10">
        <v>3.31</v>
      </c>
      <c r="N5" s="10">
        <v>3.44</v>
      </c>
      <c r="O5" s="10">
        <v>2.94</v>
      </c>
      <c r="P5" s="10">
        <v>3.81</v>
      </c>
      <c r="Q5" s="10">
        <v>3.98</v>
      </c>
      <c r="R5" s="10">
        <v>2.1</v>
      </c>
      <c r="S5" s="10">
        <v>3.39</v>
      </c>
      <c r="T5" s="10">
        <v>3</v>
      </c>
      <c r="U5" s="10">
        <v>5.27</v>
      </c>
      <c r="V5" s="10">
        <v>3.96</v>
      </c>
      <c r="W5" s="10">
        <v>5.43</v>
      </c>
      <c r="X5" s="10">
        <v>5.95</v>
      </c>
      <c r="Y5" s="10">
        <v>2.78</v>
      </c>
      <c r="Z5" s="10">
        <v>3.61</v>
      </c>
      <c r="AA5" s="10">
        <v>3.67</v>
      </c>
      <c r="AB5" s="10">
        <v>2.96</v>
      </c>
      <c r="AC5" s="10">
        <v>3.19</v>
      </c>
      <c r="AD5" s="10">
        <v>3.3</v>
      </c>
      <c r="AE5" s="10">
        <v>3.78</v>
      </c>
      <c r="AF5" s="10">
        <v>3.4</v>
      </c>
      <c r="AG5" s="10">
        <v>3.65</v>
      </c>
      <c r="AH5" s="10">
        <v>3.65</v>
      </c>
      <c r="AI5" s="10">
        <v>2</v>
      </c>
      <c r="AJ5" s="10">
        <v>3.73</v>
      </c>
      <c r="AK5" s="10">
        <v>5.91</v>
      </c>
      <c r="AL5" s="10">
        <v>3.93</v>
      </c>
      <c r="AM5" s="10">
        <v>4.6399999999999997</v>
      </c>
      <c r="AN5" s="10">
        <v>5.59</v>
      </c>
      <c r="AO5" s="10">
        <v>3.96</v>
      </c>
      <c r="AP5" s="10">
        <v>4.24</v>
      </c>
      <c r="AQ5" s="10">
        <v>4.0999999999999996</v>
      </c>
      <c r="AR5" s="10">
        <v>4.4000000000000004</v>
      </c>
      <c r="AS5" s="10">
        <v>3.72</v>
      </c>
      <c r="AT5" s="10">
        <v>4.32</v>
      </c>
      <c r="AU5" s="10">
        <v>4.07</v>
      </c>
      <c r="AV5" s="10">
        <v>4.4000000000000004</v>
      </c>
      <c r="AW5" s="10">
        <v>3.89</v>
      </c>
      <c r="AX5" s="10">
        <v>3.62</v>
      </c>
      <c r="AY5" s="10">
        <v>3.9</v>
      </c>
      <c r="AZ5" s="10">
        <v>3.66</v>
      </c>
      <c r="BA5" s="10">
        <v>6.06</v>
      </c>
      <c r="BB5" s="10">
        <v>3.08</v>
      </c>
      <c r="BC5" s="10">
        <v>4.99</v>
      </c>
      <c r="BD5" s="10">
        <v>4.78</v>
      </c>
      <c r="BE5" s="10">
        <v>3.96</v>
      </c>
      <c r="BF5" s="10">
        <v>3.4</v>
      </c>
      <c r="BG5" s="10">
        <v>3.23</v>
      </c>
      <c r="BH5" s="10">
        <v>3.62</v>
      </c>
      <c r="BI5" s="10">
        <v>3.9</v>
      </c>
      <c r="BJ5" s="10">
        <v>3.11</v>
      </c>
      <c r="BK5" s="10">
        <v>3.49</v>
      </c>
      <c r="BL5" s="10">
        <v>4.16</v>
      </c>
    </row>
    <row r="6" spans="1:64" x14ac:dyDescent="0.25">
      <c r="A6" s="10">
        <v>3.01</v>
      </c>
      <c r="B6" s="10">
        <v>3.42</v>
      </c>
      <c r="C6" s="10">
        <v>3</v>
      </c>
      <c r="D6" s="10">
        <v>2</v>
      </c>
      <c r="E6" s="10">
        <v>5.35</v>
      </c>
      <c r="F6" s="10">
        <v>5.03</v>
      </c>
      <c r="G6" s="10">
        <v>4.55</v>
      </c>
      <c r="H6" s="10">
        <v>3.7</v>
      </c>
      <c r="I6" s="10">
        <v>3.48</v>
      </c>
      <c r="J6" s="10">
        <v>3.31</v>
      </c>
      <c r="K6" s="10">
        <v>3.78</v>
      </c>
      <c r="L6" s="10">
        <v>3.2</v>
      </c>
      <c r="M6" s="10">
        <v>3.13</v>
      </c>
      <c r="N6" s="10">
        <v>3.25</v>
      </c>
      <c r="O6" s="10">
        <v>3.31</v>
      </c>
      <c r="P6" s="10">
        <v>3.21</v>
      </c>
      <c r="Q6" s="10">
        <v>2.79</v>
      </c>
      <c r="R6" s="10">
        <v>3.55</v>
      </c>
      <c r="S6" s="10">
        <v>3.64</v>
      </c>
      <c r="T6" s="10">
        <v>3.8</v>
      </c>
      <c r="U6" s="10">
        <v>4.79</v>
      </c>
      <c r="V6" s="10">
        <v>4.3099999999999996</v>
      </c>
      <c r="W6" s="10">
        <v>5.0599999999999996</v>
      </c>
      <c r="X6" s="10">
        <v>5.83</v>
      </c>
      <c r="Y6" s="10">
        <v>3.73</v>
      </c>
      <c r="Z6" s="10">
        <v>3.21</v>
      </c>
      <c r="AA6" s="10">
        <v>3.61</v>
      </c>
      <c r="AB6" s="10">
        <v>3.9</v>
      </c>
      <c r="AC6" s="10">
        <v>3.61</v>
      </c>
      <c r="AD6" s="10">
        <v>3.39</v>
      </c>
      <c r="AE6" s="10">
        <v>3.88</v>
      </c>
      <c r="AF6" s="10">
        <v>3.65</v>
      </c>
      <c r="AG6" s="10">
        <v>3.84</v>
      </c>
      <c r="AH6" s="10">
        <v>3.2</v>
      </c>
      <c r="AI6" s="10">
        <v>3.62</v>
      </c>
      <c r="AJ6" s="10">
        <v>3.52</v>
      </c>
      <c r="AK6" s="10">
        <v>4.5</v>
      </c>
      <c r="AL6" s="10">
        <v>5.4</v>
      </c>
      <c r="AM6" s="10">
        <v>4.9000000000000004</v>
      </c>
      <c r="AN6" s="10">
        <v>5.25</v>
      </c>
      <c r="AO6" s="10">
        <v>3.8</v>
      </c>
      <c r="AP6" s="10">
        <v>3.74</v>
      </c>
      <c r="AQ6" s="10">
        <v>3.04</v>
      </c>
      <c r="AR6" s="10">
        <v>3.88</v>
      </c>
      <c r="AS6" s="10">
        <v>3.66</v>
      </c>
      <c r="AT6" s="10">
        <v>3.9</v>
      </c>
      <c r="AU6" s="10">
        <v>3.26</v>
      </c>
      <c r="AV6" s="10">
        <v>3.9</v>
      </c>
      <c r="AW6" s="10">
        <v>4.0199999999999996</v>
      </c>
      <c r="AX6" s="10">
        <v>4.1900000000000004</v>
      </c>
      <c r="AY6" s="10">
        <v>3.67</v>
      </c>
      <c r="AZ6" s="10">
        <v>3.8</v>
      </c>
      <c r="BA6" s="10">
        <v>4.53</v>
      </c>
      <c r="BB6" s="10">
        <v>5</v>
      </c>
      <c r="BC6" s="10">
        <v>4.66</v>
      </c>
      <c r="BD6" s="10">
        <v>4.22</v>
      </c>
      <c r="BE6" s="10">
        <v>2.91</v>
      </c>
      <c r="BF6" s="10">
        <v>3.44</v>
      </c>
      <c r="BG6" s="10">
        <v>3.09</v>
      </c>
      <c r="BH6" s="10">
        <v>3.82</v>
      </c>
      <c r="BI6" s="10">
        <v>3.75</v>
      </c>
      <c r="BJ6" s="10">
        <v>3.89</v>
      </c>
      <c r="BK6" s="10">
        <v>3.86</v>
      </c>
      <c r="BL6" s="10">
        <v>3.02</v>
      </c>
    </row>
    <row r="7" spans="1:64" x14ac:dyDescent="0.25">
      <c r="A7" s="10">
        <v>3.92</v>
      </c>
      <c r="B7" s="10">
        <v>3.8</v>
      </c>
      <c r="C7" s="10">
        <v>3.68</v>
      </c>
      <c r="D7" s="10">
        <v>4.13</v>
      </c>
      <c r="E7" s="10">
        <v>5.03</v>
      </c>
      <c r="F7" s="10">
        <v>5.04</v>
      </c>
      <c r="G7" s="10">
        <v>5.31</v>
      </c>
      <c r="H7" s="10">
        <v>4.46</v>
      </c>
      <c r="I7" s="10">
        <v>3.53</v>
      </c>
      <c r="J7" s="10">
        <v>3.58</v>
      </c>
      <c r="K7" s="10">
        <v>4.04</v>
      </c>
      <c r="L7" s="10">
        <v>3.3</v>
      </c>
      <c r="M7" s="10">
        <v>3.58</v>
      </c>
      <c r="N7" s="10">
        <v>3.65</v>
      </c>
      <c r="O7" s="10">
        <v>3.28</v>
      </c>
      <c r="P7" s="10">
        <v>3.03</v>
      </c>
      <c r="Q7" s="10">
        <v>3.62</v>
      </c>
      <c r="R7" s="10">
        <v>3.38</v>
      </c>
      <c r="S7" s="10">
        <v>3.26</v>
      </c>
      <c r="T7" s="10">
        <v>3.26</v>
      </c>
      <c r="U7" s="10">
        <v>4.09</v>
      </c>
      <c r="V7" s="10">
        <v>4.97</v>
      </c>
      <c r="W7" s="10">
        <v>5.0199999999999996</v>
      </c>
      <c r="X7" s="10">
        <v>4.72</v>
      </c>
      <c r="Y7" s="10">
        <v>2.95</v>
      </c>
      <c r="Z7" s="10">
        <v>3.28</v>
      </c>
      <c r="AA7" s="10">
        <v>3.99</v>
      </c>
      <c r="AB7" s="10">
        <v>3.34</v>
      </c>
      <c r="AC7" s="10">
        <v>3.47</v>
      </c>
      <c r="AD7" s="10">
        <v>3.37</v>
      </c>
      <c r="AE7" s="10">
        <v>3.75</v>
      </c>
      <c r="AF7" s="10">
        <v>3.53</v>
      </c>
      <c r="AG7" s="10">
        <v>3.54</v>
      </c>
      <c r="AH7" s="10">
        <v>3.61</v>
      </c>
      <c r="AI7" s="10">
        <v>3.84</v>
      </c>
      <c r="AJ7" s="10">
        <v>3.69</v>
      </c>
      <c r="AK7" s="10">
        <v>4.5</v>
      </c>
      <c r="AL7" s="10">
        <v>4.62</v>
      </c>
      <c r="AM7" s="10">
        <v>4.3899999999999997</v>
      </c>
      <c r="AN7" s="10">
        <v>4.42</v>
      </c>
      <c r="AO7" s="10">
        <v>3.22</v>
      </c>
      <c r="AP7" s="10">
        <v>3.56</v>
      </c>
      <c r="AQ7" s="10">
        <v>3.9</v>
      </c>
      <c r="AR7" s="10">
        <v>3.58</v>
      </c>
      <c r="AS7" s="10">
        <v>3.73</v>
      </c>
      <c r="AT7" s="10">
        <v>3.86</v>
      </c>
      <c r="AU7" s="10">
        <v>3.62</v>
      </c>
      <c r="AV7" s="10">
        <v>3.57</v>
      </c>
      <c r="AW7" s="10">
        <v>4.0599999999999996</v>
      </c>
      <c r="AX7" s="10">
        <v>3.71</v>
      </c>
      <c r="AY7" s="10">
        <v>3.65</v>
      </c>
      <c r="AZ7" s="10">
        <v>3.35</v>
      </c>
      <c r="BA7" s="10">
        <v>3.9</v>
      </c>
      <c r="BB7" s="10">
        <v>4.71</v>
      </c>
      <c r="BC7" s="10">
        <v>5.46</v>
      </c>
      <c r="BD7" s="10">
        <v>4.84</v>
      </c>
      <c r="BE7" s="10">
        <v>3.4</v>
      </c>
      <c r="BF7" s="10">
        <v>3.98</v>
      </c>
      <c r="BG7" s="10">
        <v>2.91</v>
      </c>
      <c r="BH7" s="10">
        <v>3.78</v>
      </c>
      <c r="BI7" s="10">
        <v>3.41</v>
      </c>
      <c r="BJ7" s="10">
        <v>3.63</v>
      </c>
      <c r="BK7" s="10">
        <v>3.9</v>
      </c>
      <c r="BL7" s="10">
        <v>3.78</v>
      </c>
    </row>
    <row r="8" spans="1:64" x14ac:dyDescent="0.25">
      <c r="A8" s="10">
        <v>3.4</v>
      </c>
      <c r="B8" s="10">
        <v>3.19</v>
      </c>
      <c r="C8" s="10">
        <v>3.17</v>
      </c>
      <c r="D8" s="10">
        <v>3.9</v>
      </c>
      <c r="E8" s="10">
        <v>4.91</v>
      </c>
      <c r="F8" s="10">
        <v>4.58</v>
      </c>
      <c r="G8" s="10">
        <v>4.0599999999999996</v>
      </c>
      <c r="H8" s="10">
        <v>4.13</v>
      </c>
      <c r="I8" s="10">
        <v>3.13</v>
      </c>
      <c r="J8" s="10">
        <v>3.66</v>
      </c>
      <c r="K8" s="10">
        <v>3.08</v>
      </c>
      <c r="L8" s="10">
        <v>4.1500000000000004</v>
      </c>
      <c r="M8" s="10">
        <v>3.43</v>
      </c>
      <c r="N8" s="10">
        <v>3.44</v>
      </c>
      <c r="O8" s="10">
        <v>3.65</v>
      </c>
      <c r="P8" s="10">
        <v>3.9</v>
      </c>
      <c r="Q8" s="10">
        <v>3.15</v>
      </c>
      <c r="R8" s="10">
        <v>3.61</v>
      </c>
      <c r="S8" s="10">
        <v>3.25</v>
      </c>
      <c r="T8" s="10">
        <v>3.56</v>
      </c>
      <c r="U8" s="10">
        <v>4.5</v>
      </c>
      <c r="V8" s="10">
        <v>4.87</v>
      </c>
      <c r="W8" s="10">
        <v>3.73</v>
      </c>
      <c r="X8" s="10">
        <v>5.0999999999999996</v>
      </c>
      <c r="Y8" s="10">
        <v>2.9</v>
      </c>
      <c r="Z8" s="10">
        <v>3.1</v>
      </c>
      <c r="AA8" s="10">
        <v>3.3</v>
      </c>
      <c r="AB8" s="10">
        <v>2.84</v>
      </c>
      <c r="AC8" s="10">
        <v>3.78</v>
      </c>
      <c r="AD8" s="10">
        <v>3.59</v>
      </c>
      <c r="AE8" s="10">
        <v>3.72</v>
      </c>
      <c r="AF8" s="10">
        <v>3.22</v>
      </c>
      <c r="AG8" s="10">
        <v>4</v>
      </c>
      <c r="AH8" s="10">
        <v>3.62</v>
      </c>
      <c r="AI8" s="10">
        <v>3.27</v>
      </c>
      <c r="AJ8" s="10">
        <v>4.28</v>
      </c>
      <c r="AK8" s="10">
        <v>3.96</v>
      </c>
      <c r="AL8" s="10">
        <v>3.73</v>
      </c>
      <c r="AM8" s="10">
        <v>5.4</v>
      </c>
      <c r="AN8" s="10">
        <v>5.26</v>
      </c>
      <c r="AO8" s="10">
        <v>3.08</v>
      </c>
      <c r="AP8" s="10">
        <v>4.3099999999999996</v>
      </c>
      <c r="AQ8" s="10">
        <v>4.37</v>
      </c>
      <c r="AR8" s="10">
        <v>4.01</v>
      </c>
      <c r="AS8" s="10">
        <v>3.78</v>
      </c>
      <c r="AT8" s="10">
        <v>3.97</v>
      </c>
      <c r="AU8" s="10">
        <v>3.95</v>
      </c>
      <c r="AV8" s="10">
        <v>3.93</v>
      </c>
      <c r="AW8" s="10">
        <v>3.75</v>
      </c>
      <c r="AX8" s="10">
        <v>3.11</v>
      </c>
      <c r="AY8" s="10">
        <v>3.97</v>
      </c>
      <c r="AZ8" s="10">
        <v>3.66</v>
      </c>
      <c r="BA8" s="10">
        <v>5.19</v>
      </c>
      <c r="BB8" s="10">
        <v>5</v>
      </c>
      <c r="BC8" s="10">
        <v>4.84</v>
      </c>
      <c r="BD8" s="10">
        <v>5.3</v>
      </c>
      <c r="BE8" s="10">
        <v>4.0199999999999996</v>
      </c>
      <c r="BF8" s="10">
        <v>3.9</v>
      </c>
      <c r="BG8" s="10">
        <v>3.4</v>
      </c>
      <c r="BH8" s="10">
        <v>3.29</v>
      </c>
      <c r="BI8" s="10">
        <v>3.25</v>
      </c>
      <c r="BJ8" s="10">
        <v>4.04</v>
      </c>
      <c r="BK8" s="10">
        <v>4.2300000000000004</v>
      </c>
      <c r="BL8" s="10">
        <v>3.58</v>
      </c>
    </row>
    <row r="9" spans="1:64" x14ac:dyDescent="0.25">
      <c r="A9" s="10">
        <v>3.38</v>
      </c>
      <c r="B9" s="10">
        <v>3.62</v>
      </c>
      <c r="C9" s="10">
        <v>3.2</v>
      </c>
      <c r="D9" s="10">
        <v>3.03</v>
      </c>
      <c r="E9" s="10">
        <v>4.37</v>
      </c>
      <c r="F9" s="10">
        <v>4.66</v>
      </c>
      <c r="G9" s="10">
        <v>5</v>
      </c>
      <c r="H9" s="10">
        <v>3.45</v>
      </c>
      <c r="I9" s="10">
        <v>3.03</v>
      </c>
      <c r="J9" s="10">
        <v>3.48</v>
      </c>
      <c r="K9" s="10">
        <v>3.97</v>
      </c>
      <c r="L9" s="10">
        <v>3.59</v>
      </c>
      <c r="M9" s="10">
        <v>3.46</v>
      </c>
      <c r="N9" s="10">
        <v>3.43</v>
      </c>
      <c r="O9" s="10">
        <v>3.32</v>
      </c>
      <c r="P9" s="10">
        <v>3.07</v>
      </c>
      <c r="Q9" s="10">
        <v>3.49</v>
      </c>
      <c r="R9" s="10">
        <v>3.5</v>
      </c>
      <c r="S9" s="10">
        <v>3.67</v>
      </c>
      <c r="T9" s="10">
        <v>3.59</v>
      </c>
      <c r="U9" s="10">
        <v>4.01</v>
      </c>
      <c r="V9" s="10">
        <v>4.37</v>
      </c>
      <c r="W9" s="10">
        <v>4.5</v>
      </c>
      <c r="X9" s="10">
        <v>5.47</v>
      </c>
      <c r="Y9" s="10">
        <v>4.5</v>
      </c>
      <c r="Z9" s="10">
        <v>3.93</v>
      </c>
      <c r="AA9" s="10">
        <v>3.48</v>
      </c>
      <c r="AB9" s="10">
        <v>3.18</v>
      </c>
      <c r="AC9" s="10">
        <v>2.94</v>
      </c>
      <c r="AD9" s="10">
        <v>3.38</v>
      </c>
      <c r="AE9" s="10">
        <v>3.09</v>
      </c>
      <c r="AF9" s="10">
        <v>3.61</v>
      </c>
      <c r="AG9" s="10">
        <v>3.4</v>
      </c>
      <c r="AH9" s="10">
        <v>3.39</v>
      </c>
      <c r="AI9" s="10">
        <v>3.9</v>
      </c>
      <c r="AJ9" s="10">
        <v>4</v>
      </c>
      <c r="AK9" s="10">
        <v>4.5</v>
      </c>
      <c r="AL9" s="10">
        <v>3.85</v>
      </c>
      <c r="AM9" s="10">
        <v>4.0599999999999996</v>
      </c>
      <c r="AN9" s="10">
        <v>2.86</v>
      </c>
      <c r="AO9" s="10">
        <v>3.68</v>
      </c>
      <c r="AP9" s="10">
        <v>3.67</v>
      </c>
      <c r="AQ9" s="10">
        <v>4</v>
      </c>
      <c r="AR9" s="10">
        <v>3.3</v>
      </c>
      <c r="AS9" s="10">
        <v>3.66</v>
      </c>
      <c r="AT9" s="10">
        <v>3.49</v>
      </c>
      <c r="AU9" s="10">
        <v>3.31</v>
      </c>
      <c r="AV9" s="10">
        <v>3.63</v>
      </c>
      <c r="AW9" s="10">
        <v>4.42</v>
      </c>
      <c r="AX9" s="10">
        <v>3.7</v>
      </c>
      <c r="AY9" s="10">
        <v>3.65</v>
      </c>
      <c r="AZ9" s="10">
        <v>4.18</v>
      </c>
      <c r="BA9" s="10">
        <v>4.6100000000000003</v>
      </c>
      <c r="BB9" s="10">
        <v>4.92</v>
      </c>
      <c r="BC9" s="10">
        <v>4.8</v>
      </c>
      <c r="BD9" s="10">
        <v>3.59</v>
      </c>
      <c r="BE9" s="10">
        <v>4.0999999999999996</v>
      </c>
      <c r="BF9" s="10">
        <v>3.64</v>
      </c>
      <c r="BG9" s="10">
        <v>4.5</v>
      </c>
      <c r="BH9" s="10">
        <v>3.08</v>
      </c>
      <c r="BI9" s="10">
        <v>3.81</v>
      </c>
      <c r="BJ9" s="10">
        <v>4.28</v>
      </c>
      <c r="BK9" s="10">
        <v>3.71</v>
      </c>
      <c r="BL9" s="10">
        <v>3.42</v>
      </c>
    </row>
    <row r="10" spans="1:64" x14ac:dyDescent="0.25">
      <c r="A10" s="10">
        <v>3.95</v>
      </c>
      <c r="B10" s="10">
        <v>3.6</v>
      </c>
      <c r="C10" s="10">
        <v>3.88</v>
      </c>
      <c r="D10" s="10">
        <v>3.1</v>
      </c>
      <c r="E10" s="10">
        <v>4.5</v>
      </c>
      <c r="F10" s="10">
        <v>6.31</v>
      </c>
      <c r="G10" s="10">
        <v>4.0999999999999996</v>
      </c>
      <c r="H10" s="10">
        <v>3.77</v>
      </c>
      <c r="I10" s="10">
        <v>3.2</v>
      </c>
      <c r="J10" s="10">
        <v>3.09</v>
      </c>
      <c r="K10" s="10">
        <v>3.48</v>
      </c>
      <c r="L10" s="10">
        <v>2.95</v>
      </c>
      <c r="M10" s="10">
        <v>3.76</v>
      </c>
      <c r="N10" s="10">
        <v>3.63</v>
      </c>
      <c r="O10" s="10">
        <v>3.19</v>
      </c>
      <c r="P10" s="10">
        <v>3.75</v>
      </c>
      <c r="Q10" s="10">
        <v>3.43</v>
      </c>
      <c r="R10" s="10">
        <v>3.55</v>
      </c>
      <c r="S10" s="10">
        <v>3.44</v>
      </c>
      <c r="T10" s="10">
        <v>3.22</v>
      </c>
      <c r="U10" s="10">
        <v>5.43</v>
      </c>
      <c r="V10" s="10">
        <v>5.97</v>
      </c>
      <c r="W10" s="10">
        <v>3.97</v>
      </c>
      <c r="X10" s="10">
        <v>4.63</v>
      </c>
      <c r="Y10" s="10">
        <v>3.24</v>
      </c>
      <c r="Z10" s="10">
        <v>3.23</v>
      </c>
      <c r="AA10" s="10">
        <v>3.44</v>
      </c>
      <c r="AB10" s="10">
        <v>3.65</v>
      </c>
      <c r="AC10" s="10">
        <v>3.27</v>
      </c>
      <c r="AD10" s="10">
        <v>3.15</v>
      </c>
      <c r="AE10" s="10">
        <v>3.69</v>
      </c>
      <c r="AF10" s="10">
        <v>3.58</v>
      </c>
      <c r="AG10" s="10">
        <v>3.69</v>
      </c>
      <c r="AH10" s="10">
        <v>3.75</v>
      </c>
      <c r="AI10" s="10">
        <v>3.69</v>
      </c>
      <c r="AJ10" s="10">
        <v>3.09</v>
      </c>
      <c r="AK10" s="10">
        <v>5.4</v>
      </c>
      <c r="AL10" s="10">
        <v>4.9800000000000004</v>
      </c>
      <c r="AM10" s="10">
        <v>5.12</v>
      </c>
      <c r="AN10" s="10">
        <v>5.13</v>
      </c>
      <c r="AO10" s="10">
        <v>3.53</v>
      </c>
      <c r="AP10" s="10">
        <v>3.51</v>
      </c>
      <c r="AQ10" s="10">
        <v>3.5</v>
      </c>
      <c r="AR10" s="10">
        <v>3.44</v>
      </c>
      <c r="AS10" s="10">
        <v>3.79</v>
      </c>
      <c r="AT10" s="10">
        <v>3.61</v>
      </c>
      <c r="AU10" s="10">
        <v>3.59</v>
      </c>
      <c r="AV10" s="10">
        <v>3.27</v>
      </c>
      <c r="AW10" s="10">
        <v>3.29</v>
      </c>
      <c r="AX10" s="10">
        <v>3.79</v>
      </c>
      <c r="AY10" s="10">
        <v>3.54</v>
      </c>
      <c r="AZ10" s="10">
        <v>3.9</v>
      </c>
      <c r="BA10" s="10">
        <v>4.2</v>
      </c>
      <c r="BB10" s="10">
        <v>4.83</v>
      </c>
      <c r="BC10" s="10">
        <v>5.15</v>
      </c>
      <c r="BD10" s="10">
        <v>5.27</v>
      </c>
      <c r="BE10" s="10">
        <v>3.14</v>
      </c>
      <c r="BF10" s="10">
        <v>3.9</v>
      </c>
      <c r="BG10" s="10">
        <v>3.49</v>
      </c>
      <c r="BH10" s="10">
        <v>3.76</v>
      </c>
      <c r="BI10" s="10">
        <v>3.55</v>
      </c>
      <c r="BJ10" s="10">
        <v>3.73</v>
      </c>
      <c r="BK10" s="10">
        <v>4.08</v>
      </c>
      <c r="BL10" s="10">
        <v>3.5</v>
      </c>
    </row>
    <row r="11" spans="1:64" x14ac:dyDescent="0.25">
      <c r="A11" s="10">
        <v>3.15</v>
      </c>
      <c r="B11" s="10">
        <v>3.9</v>
      </c>
      <c r="C11" s="10">
        <v>3.31</v>
      </c>
      <c r="D11" s="10">
        <v>3.31</v>
      </c>
      <c r="E11" s="10">
        <v>4.45</v>
      </c>
      <c r="F11" s="10">
        <v>4.24</v>
      </c>
      <c r="G11" s="10">
        <v>4.6399999999999997</v>
      </c>
      <c r="H11" s="10">
        <v>4.66</v>
      </c>
      <c r="I11" s="10">
        <v>3.29</v>
      </c>
      <c r="J11" s="10">
        <v>3.39</v>
      </c>
      <c r="K11" s="10">
        <v>3.9</v>
      </c>
      <c r="L11" s="10">
        <v>3.15</v>
      </c>
      <c r="M11" s="10">
        <v>3.4</v>
      </c>
      <c r="N11" s="10">
        <v>3.9</v>
      </c>
      <c r="O11" s="10">
        <v>3.35</v>
      </c>
      <c r="P11" s="10">
        <v>3.03</v>
      </c>
      <c r="Q11" s="10">
        <v>2.92</v>
      </c>
      <c r="R11" s="10">
        <v>3.14</v>
      </c>
      <c r="S11" s="10">
        <v>3.38</v>
      </c>
      <c r="T11" s="10">
        <v>3.66</v>
      </c>
      <c r="U11" s="10">
        <v>4.93</v>
      </c>
      <c r="V11" s="10">
        <v>3.57</v>
      </c>
      <c r="W11" s="10">
        <v>4.3</v>
      </c>
      <c r="X11" s="10">
        <v>4.0999999999999996</v>
      </c>
      <c r="Y11" s="10">
        <v>3.66</v>
      </c>
      <c r="Z11" s="10">
        <v>3.71</v>
      </c>
      <c r="AA11" s="10">
        <v>3.61</v>
      </c>
      <c r="AB11" s="10">
        <v>3.43</v>
      </c>
      <c r="AC11" s="10">
        <v>3.58</v>
      </c>
      <c r="AD11" s="10">
        <v>3.58</v>
      </c>
      <c r="AE11" s="10">
        <v>3.46</v>
      </c>
      <c r="AF11" s="10">
        <v>3.3</v>
      </c>
      <c r="AG11" s="10">
        <v>3.59</v>
      </c>
      <c r="AH11" s="10">
        <v>3.33</v>
      </c>
      <c r="AI11" s="10">
        <v>3.69</v>
      </c>
      <c r="AJ11" s="10">
        <v>3.58</v>
      </c>
      <c r="AK11" s="10">
        <v>4.41</v>
      </c>
      <c r="AL11" s="10">
        <v>4.03</v>
      </c>
      <c r="AM11" s="10">
        <v>5.36</v>
      </c>
      <c r="AN11" s="10">
        <v>3.81</v>
      </c>
      <c r="AO11" s="10">
        <v>3</v>
      </c>
      <c r="AP11" s="10">
        <v>3.43</v>
      </c>
      <c r="AQ11" s="10">
        <v>3.61</v>
      </c>
      <c r="AR11" s="10">
        <v>3.54</v>
      </c>
      <c r="AS11" s="10">
        <v>3.28</v>
      </c>
      <c r="AT11" s="10">
        <v>3.51</v>
      </c>
      <c r="AU11" s="10">
        <v>3.34</v>
      </c>
      <c r="AV11" s="10">
        <v>3.31</v>
      </c>
      <c r="AW11" s="10">
        <v>3.79</v>
      </c>
      <c r="AX11" s="10">
        <v>3.76</v>
      </c>
      <c r="AY11" s="10">
        <v>3.58</v>
      </c>
      <c r="AZ11" s="10">
        <v>3.42</v>
      </c>
      <c r="BA11" s="10">
        <v>5.0599999999999996</v>
      </c>
      <c r="BB11" s="10">
        <v>6.12</v>
      </c>
      <c r="BC11" s="10">
        <v>5.71</v>
      </c>
      <c r="BD11" s="10">
        <v>4.1399999999999997</v>
      </c>
      <c r="BE11" s="10">
        <v>3.9</v>
      </c>
      <c r="BF11" s="10">
        <v>3.55</v>
      </c>
      <c r="BG11" s="10">
        <v>3.97</v>
      </c>
      <c r="BH11" s="10">
        <v>3.62</v>
      </c>
      <c r="BI11" s="10">
        <v>3.57</v>
      </c>
      <c r="BJ11" s="10">
        <v>3.97</v>
      </c>
      <c r="BK11" s="10">
        <v>2.99</v>
      </c>
      <c r="BL11" s="10">
        <v>3.4</v>
      </c>
    </row>
    <row r="12" spans="1:64" x14ac:dyDescent="0.25">
      <c r="A12" s="10">
        <v>3.6</v>
      </c>
      <c r="B12" s="10">
        <v>2.98</v>
      </c>
      <c r="C12" s="10">
        <v>3.35</v>
      </c>
      <c r="D12" s="10">
        <v>3.52</v>
      </c>
      <c r="E12" s="10">
        <v>4.58</v>
      </c>
      <c r="F12" s="10">
        <v>4.79</v>
      </c>
      <c r="G12" s="10">
        <v>5.66</v>
      </c>
      <c r="H12" s="10">
        <v>5.31</v>
      </c>
      <c r="I12" s="10">
        <v>3.52</v>
      </c>
      <c r="J12" s="10">
        <v>3</v>
      </c>
      <c r="K12" s="10">
        <v>3.39</v>
      </c>
      <c r="L12" s="10">
        <v>3.57</v>
      </c>
      <c r="M12" s="10">
        <v>3.32</v>
      </c>
      <c r="N12" s="10">
        <v>4</v>
      </c>
      <c r="O12" s="10">
        <v>3.84</v>
      </c>
      <c r="P12" s="10">
        <v>2.82</v>
      </c>
      <c r="Q12" s="10">
        <v>3.34</v>
      </c>
      <c r="R12" s="10">
        <v>3.98</v>
      </c>
      <c r="S12" s="10">
        <v>3.76</v>
      </c>
      <c r="T12" s="10">
        <v>3.28</v>
      </c>
      <c r="U12" s="10">
        <v>4.93</v>
      </c>
      <c r="V12" s="10">
        <v>5</v>
      </c>
      <c r="W12" s="10">
        <v>5.23</v>
      </c>
      <c r="X12" s="10">
        <v>4.33</v>
      </c>
      <c r="Y12" s="10">
        <v>3.38</v>
      </c>
      <c r="Z12" s="10">
        <v>3.9</v>
      </c>
      <c r="AA12" s="10">
        <v>3.7</v>
      </c>
      <c r="AB12" s="10">
        <v>3.39</v>
      </c>
      <c r="AC12" s="10">
        <v>3.98</v>
      </c>
      <c r="AD12" s="10">
        <v>3.79</v>
      </c>
      <c r="AE12" s="10">
        <v>3.4</v>
      </c>
      <c r="AF12" s="10">
        <v>3.57</v>
      </c>
      <c r="AG12" s="10">
        <v>3.27</v>
      </c>
      <c r="AH12" s="10">
        <v>3.61</v>
      </c>
      <c r="AI12" s="10">
        <v>3.55</v>
      </c>
      <c r="AJ12" s="10">
        <v>3.81</v>
      </c>
      <c r="AK12" s="10">
        <v>4.88</v>
      </c>
      <c r="AL12" s="10">
        <v>5</v>
      </c>
      <c r="AM12" s="10">
        <v>5.09</v>
      </c>
      <c r="AN12" s="10">
        <v>4.24</v>
      </c>
      <c r="AO12" s="10">
        <v>3.35</v>
      </c>
      <c r="AP12" s="10">
        <v>3.55</v>
      </c>
      <c r="AQ12" s="10">
        <v>3.7</v>
      </c>
      <c r="AR12" s="10">
        <v>3.88</v>
      </c>
      <c r="AS12" s="10">
        <v>3.71</v>
      </c>
      <c r="AT12" s="10">
        <v>3.32</v>
      </c>
      <c r="AU12" s="10">
        <v>3.32</v>
      </c>
      <c r="AV12" s="10">
        <v>3.2</v>
      </c>
      <c r="AW12" s="10">
        <v>3.92</v>
      </c>
      <c r="AX12" s="10">
        <v>2.84</v>
      </c>
      <c r="AY12" s="10">
        <v>3.8</v>
      </c>
      <c r="AZ12" s="10">
        <v>4.5999999999999996</v>
      </c>
      <c r="BA12" s="10">
        <v>5.69</v>
      </c>
      <c r="BB12" s="10">
        <v>4.24</v>
      </c>
      <c r="BC12" s="10">
        <v>4.1500000000000004</v>
      </c>
      <c r="BD12" s="10">
        <v>4.87</v>
      </c>
      <c r="BE12" s="10">
        <v>4.18</v>
      </c>
      <c r="BF12" s="10">
        <v>3.5</v>
      </c>
      <c r="BG12" s="10">
        <v>3.83</v>
      </c>
      <c r="BH12" s="10">
        <v>3</v>
      </c>
      <c r="BI12" s="10">
        <v>3.88</v>
      </c>
      <c r="BJ12" s="10">
        <v>3.64</v>
      </c>
      <c r="BK12" s="10">
        <v>4.28</v>
      </c>
      <c r="BL12" s="10">
        <v>4.8499999999999996</v>
      </c>
    </row>
    <row r="13" spans="1:64" x14ac:dyDescent="0.25">
      <c r="A13" s="10">
        <v>2.88</v>
      </c>
      <c r="B13" s="10">
        <v>3.77</v>
      </c>
      <c r="C13" s="10">
        <v>3.32</v>
      </c>
      <c r="D13" s="10">
        <v>3.07</v>
      </c>
      <c r="E13" s="10">
        <v>5.34</v>
      </c>
      <c r="F13" s="10">
        <v>5</v>
      </c>
      <c r="G13" s="10">
        <v>4.7699999999999996</v>
      </c>
      <c r="H13" s="10">
        <v>5.0999999999999996</v>
      </c>
      <c r="I13" s="10">
        <v>3.43</v>
      </c>
      <c r="J13" s="10">
        <v>3</v>
      </c>
      <c r="K13" s="10">
        <v>3.71</v>
      </c>
      <c r="L13" s="10">
        <v>2.9</v>
      </c>
      <c r="M13" s="10">
        <v>3.65</v>
      </c>
      <c r="N13" s="10">
        <v>3.38</v>
      </c>
      <c r="O13" s="10">
        <v>3.72</v>
      </c>
      <c r="P13" s="10">
        <v>3.86</v>
      </c>
      <c r="Q13" s="10">
        <v>3.87</v>
      </c>
      <c r="R13" s="10">
        <v>3.75</v>
      </c>
      <c r="S13" s="10">
        <v>4.13</v>
      </c>
      <c r="T13" s="10">
        <v>3.63</v>
      </c>
      <c r="U13" s="10">
        <v>5.9</v>
      </c>
      <c r="V13" s="10">
        <v>5.83</v>
      </c>
      <c r="W13" s="10">
        <v>6.48</v>
      </c>
      <c r="X13" s="10">
        <v>6.5</v>
      </c>
      <c r="Y13" s="10">
        <v>3.98</v>
      </c>
      <c r="Z13" s="10">
        <v>3.05</v>
      </c>
      <c r="AA13" s="10">
        <v>3</v>
      </c>
      <c r="AB13" s="10">
        <v>3.75</v>
      </c>
      <c r="AC13" s="10">
        <v>4.18</v>
      </c>
      <c r="AD13" s="10">
        <v>3.61</v>
      </c>
      <c r="AE13" s="10">
        <v>3.65</v>
      </c>
      <c r="AF13" s="10">
        <v>4.2300000000000004</v>
      </c>
      <c r="AG13" s="10">
        <v>3.53</v>
      </c>
      <c r="AH13" s="10">
        <v>3.48</v>
      </c>
      <c r="AI13" s="10">
        <v>3.43</v>
      </c>
      <c r="AJ13" s="10">
        <v>3.23</v>
      </c>
      <c r="AK13" s="10">
        <v>4.5</v>
      </c>
      <c r="AL13" s="10">
        <v>4.76</v>
      </c>
      <c r="AM13" s="10">
        <v>4.8499999999999996</v>
      </c>
      <c r="AN13" s="10">
        <v>4.57</v>
      </c>
      <c r="AO13" s="10">
        <v>3.61</v>
      </c>
      <c r="AP13" s="10">
        <v>3.45</v>
      </c>
      <c r="AQ13" s="10">
        <v>3.8</v>
      </c>
      <c r="AR13" s="10">
        <v>3.68</v>
      </c>
      <c r="AS13" s="10">
        <v>3.2</v>
      </c>
      <c r="AT13" s="10">
        <v>3.09</v>
      </c>
      <c r="AU13" s="10">
        <v>3.71</v>
      </c>
      <c r="AV13" s="10">
        <v>3.18</v>
      </c>
      <c r="AW13" s="10">
        <v>3.3</v>
      </c>
      <c r="AX13" s="10">
        <v>3.55</v>
      </c>
      <c r="AY13" s="10">
        <v>4.01</v>
      </c>
      <c r="AZ13" s="10">
        <v>3.88</v>
      </c>
      <c r="BA13" s="10">
        <v>6.33</v>
      </c>
      <c r="BB13" s="10">
        <v>5</v>
      </c>
      <c r="BC13" s="10">
        <v>5.18</v>
      </c>
      <c r="BD13" s="10">
        <v>5.35</v>
      </c>
      <c r="BE13" s="10">
        <v>4.08</v>
      </c>
      <c r="BF13" s="10">
        <v>3.13</v>
      </c>
      <c r="BG13" s="10">
        <v>4</v>
      </c>
      <c r="BH13" s="10">
        <v>4.13</v>
      </c>
      <c r="BI13" s="10">
        <v>3.08</v>
      </c>
      <c r="BJ13" s="10">
        <v>3.69</v>
      </c>
      <c r="BK13" s="10">
        <v>3.7</v>
      </c>
      <c r="BL13" s="10">
        <v>4.1900000000000004</v>
      </c>
    </row>
    <row r="14" spans="1:64" x14ac:dyDescent="0.25">
      <c r="A14" s="10">
        <v>3.02</v>
      </c>
      <c r="B14" s="10">
        <v>3.12</v>
      </c>
      <c r="C14" s="10">
        <v>3.13</v>
      </c>
      <c r="D14" s="10">
        <v>3.77</v>
      </c>
      <c r="E14" s="10">
        <v>4.2699999999999996</v>
      </c>
      <c r="F14" s="10">
        <v>5.08</v>
      </c>
      <c r="G14" s="10">
        <v>5.29</v>
      </c>
      <c r="H14" s="10">
        <v>4.08</v>
      </c>
      <c r="I14" s="10">
        <v>2.97</v>
      </c>
      <c r="J14" s="10">
        <v>3.49</v>
      </c>
      <c r="K14" s="10">
        <v>3.9</v>
      </c>
      <c r="L14" s="10">
        <v>3.15</v>
      </c>
      <c r="M14" s="10">
        <v>3.9</v>
      </c>
      <c r="N14" s="10">
        <v>3.14</v>
      </c>
      <c r="O14" s="10">
        <v>3.2</v>
      </c>
      <c r="P14" s="10">
        <v>2.96</v>
      </c>
      <c r="Q14" s="10">
        <v>3.33</v>
      </c>
      <c r="R14" s="10">
        <v>3.21</v>
      </c>
      <c r="S14" s="10">
        <v>3.63</v>
      </c>
      <c r="T14" s="10">
        <v>3.53</v>
      </c>
      <c r="U14" s="10">
        <v>5</v>
      </c>
      <c r="V14" s="10">
        <v>4.34</v>
      </c>
      <c r="W14" s="10">
        <v>4.1100000000000003</v>
      </c>
      <c r="X14" s="10">
        <v>3.47</v>
      </c>
      <c r="Y14" s="10">
        <v>3.35</v>
      </c>
      <c r="Z14" s="10">
        <v>3.69</v>
      </c>
      <c r="AA14" s="10">
        <v>3</v>
      </c>
      <c r="AB14" s="10">
        <v>3.35</v>
      </c>
      <c r="AC14" s="10">
        <v>3.64</v>
      </c>
      <c r="AD14" s="10">
        <v>3.57</v>
      </c>
      <c r="AE14" s="10">
        <v>3.14</v>
      </c>
      <c r="AF14" s="10">
        <v>3.41</v>
      </c>
      <c r="AG14" s="10">
        <v>3.19</v>
      </c>
      <c r="AH14" s="10">
        <v>3.7</v>
      </c>
      <c r="AI14" s="10">
        <v>3.48</v>
      </c>
      <c r="AJ14" s="10">
        <v>3.5</v>
      </c>
      <c r="AK14" s="10">
        <v>4.21</v>
      </c>
      <c r="AL14" s="10">
        <v>5.6</v>
      </c>
      <c r="AM14" s="10">
        <v>4.93</v>
      </c>
      <c r="AN14" s="10">
        <v>5.31</v>
      </c>
      <c r="AO14" s="10">
        <v>3.26</v>
      </c>
      <c r="AP14" s="10">
        <v>3.18</v>
      </c>
      <c r="AQ14" s="10">
        <v>3.72</v>
      </c>
      <c r="AR14" s="10">
        <v>3.4</v>
      </c>
      <c r="AS14" s="10">
        <v>3.34</v>
      </c>
      <c r="AT14" s="10">
        <v>3.33</v>
      </c>
      <c r="AU14" s="10">
        <v>3.38</v>
      </c>
      <c r="AV14" s="10">
        <v>3.46</v>
      </c>
      <c r="AW14" s="10">
        <v>3.91</v>
      </c>
      <c r="AX14" s="10">
        <v>4.03</v>
      </c>
      <c r="AY14" s="10">
        <v>3.96</v>
      </c>
      <c r="AZ14" s="10">
        <v>3.9</v>
      </c>
      <c r="BA14" s="10">
        <v>4.99</v>
      </c>
      <c r="BB14" s="10">
        <v>4.78</v>
      </c>
      <c r="BC14" s="10">
        <v>5.29</v>
      </c>
      <c r="BD14" s="10">
        <v>4.9000000000000004</v>
      </c>
      <c r="BE14" s="10">
        <v>4.07</v>
      </c>
      <c r="BF14" s="10">
        <v>3.63</v>
      </c>
      <c r="BG14" s="10">
        <v>3.71</v>
      </c>
      <c r="BH14" s="10">
        <v>3.8</v>
      </c>
      <c r="BI14" s="10">
        <v>3.51</v>
      </c>
      <c r="BJ14" s="10">
        <v>3.82</v>
      </c>
      <c r="BK14" s="10">
        <v>3.61</v>
      </c>
      <c r="BL14" s="10">
        <v>3.45</v>
      </c>
    </row>
    <row r="15" spans="1:64" x14ac:dyDescent="0.25">
      <c r="A15" s="10">
        <v>4</v>
      </c>
      <c r="B15" s="10">
        <v>3.2</v>
      </c>
      <c r="C15" s="10">
        <v>4.05</v>
      </c>
      <c r="D15" s="10">
        <v>4.28</v>
      </c>
      <c r="E15" s="10">
        <v>5.28</v>
      </c>
      <c r="F15" s="10">
        <v>4.6100000000000003</v>
      </c>
      <c r="G15" s="10">
        <v>6.29</v>
      </c>
      <c r="H15" s="10">
        <v>5.82</v>
      </c>
      <c r="I15" s="10">
        <v>3.38</v>
      </c>
      <c r="J15" s="10">
        <v>3.67</v>
      </c>
      <c r="K15" s="10">
        <v>3.73</v>
      </c>
      <c r="L15" s="10">
        <v>3</v>
      </c>
      <c r="M15" s="10">
        <v>4.1100000000000003</v>
      </c>
      <c r="N15" s="10">
        <v>3.52</v>
      </c>
      <c r="O15" s="10">
        <v>3.18</v>
      </c>
      <c r="P15" s="10">
        <v>3.78</v>
      </c>
      <c r="Q15" s="10">
        <v>3.6</v>
      </c>
      <c r="R15" s="10">
        <v>3.02</v>
      </c>
      <c r="S15" s="10">
        <v>3.9</v>
      </c>
      <c r="T15" s="10">
        <v>3.44</v>
      </c>
      <c r="U15" s="10">
        <v>5.21</v>
      </c>
      <c r="V15" s="10">
        <v>5.46</v>
      </c>
      <c r="W15" s="10">
        <v>4.67</v>
      </c>
      <c r="X15" s="10">
        <v>4.8499999999999996</v>
      </c>
      <c r="Y15" s="10">
        <v>3.54</v>
      </c>
      <c r="Z15" s="10">
        <v>3.38</v>
      </c>
      <c r="AA15" s="10">
        <v>3.6</v>
      </c>
      <c r="AB15" s="10">
        <v>3.17</v>
      </c>
      <c r="AC15" s="10">
        <v>3.8</v>
      </c>
      <c r="AD15" s="10">
        <v>3.3</v>
      </c>
      <c r="AE15" s="10">
        <v>3.55</v>
      </c>
      <c r="AF15" s="10">
        <v>3.62</v>
      </c>
      <c r="AG15" s="10">
        <v>2.89</v>
      </c>
      <c r="AH15" s="10">
        <v>4.34</v>
      </c>
      <c r="AI15" s="10">
        <v>3.9</v>
      </c>
      <c r="AJ15" s="10">
        <v>3.43</v>
      </c>
      <c r="AK15" s="10">
        <v>5.61</v>
      </c>
      <c r="AL15" s="10">
        <v>4.45</v>
      </c>
      <c r="AM15" s="10">
        <v>5</v>
      </c>
      <c r="AN15" s="10">
        <v>5.71</v>
      </c>
      <c r="AO15" s="10">
        <v>4.05</v>
      </c>
      <c r="AP15" s="10">
        <v>3.96</v>
      </c>
      <c r="AQ15" s="10">
        <v>3.37</v>
      </c>
      <c r="AR15" s="10">
        <v>3.92</v>
      </c>
      <c r="AS15" s="10">
        <v>3.62</v>
      </c>
      <c r="AT15" s="10">
        <v>3.9</v>
      </c>
      <c r="AU15" s="10">
        <v>4.08</v>
      </c>
      <c r="AV15" s="10">
        <v>3.9</v>
      </c>
      <c r="AW15" s="10">
        <v>2.1</v>
      </c>
      <c r="AX15" s="10">
        <v>3.72</v>
      </c>
      <c r="AY15" s="10">
        <v>3.65</v>
      </c>
      <c r="AZ15" s="10">
        <v>3.26</v>
      </c>
      <c r="BA15" s="10">
        <v>4.97</v>
      </c>
      <c r="BB15" s="10">
        <v>6.18</v>
      </c>
      <c r="BC15" s="10">
        <v>4.93</v>
      </c>
      <c r="BD15" s="10">
        <v>5.41</v>
      </c>
      <c r="BE15" s="10">
        <v>4.0199999999999996</v>
      </c>
      <c r="BF15" s="10">
        <v>3.57</v>
      </c>
      <c r="BG15" s="10">
        <v>3.54</v>
      </c>
      <c r="BH15" s="10">
        <v>3.55</v>
      </c>
      <c r="BI15" s="10">
        <v>3.7</v>
      </c>
      <c r="BJ15" s="10">
        <v>4.05</v>
      </c>
      <c r="BK15" s="10">
        <v>3</v>
      </c>
      <c r="BL15" s="10">
        <v>2.6</v>
      </c>
    </row>
    <row r="16" spans="1:64" x14ac:dyDescent="0.25">
      <c r="A16" s="10">
        <v>3.62</v>
      </c>
      <c r="B16" s="10">
        <v>2.99</v>
      </c>
      <c r="C16" s="10">
        <v>3</v>
      </c>
      <c r="D16" s="10">
        <v>3.45</v>
      </c>
      <c r="E16" s="10">
        <v>4.74</v>
      </c>
      <c r="F16" s="10">
        <v>5.49</v>
      </c>
      <c r="G16" s="10">
        <v>4.24</v>
      </c>
      <c r="H16" s="10">
        <v>4.47</v>
      </c>
      <c r="I16" s="10">
        <v>3.34</v>
      </c>
      <c r="J16" s="10">
        <v>3.6</v>
      </c>
      <c r="K16" s="10">
        <v>3.28</v>
      </c>
      <c r="L16" s="10">
        <v>3.22</v>
      </c>
      <c r="M16" s="10">
        <v>3</v>
      </c>
      <c r="N16" s="10">
        <v>3.32</v>
      </c>
      <c r="O16" s="10">
        <v>3.65</v>
      </c>
      <c r="P16" s="10">
        <v>2.68</v>
      </c>
      <c r="Q16" s="10">
        <v>3.69</v>
      </c>
      <c r="R16" s="10">
        <v>3.46</v>
      </c>
      <c r="S16" s="10">
        <v>3.75</v>
      </c>
      <c r="T16" s="10">
        <v>3.67</v>
      </c>
      <c r="U16" s="10">
        <v>5.28</v>
      </c>
      <c r="V16" s="10">
        <v>3.61</v>
      </c>
      <c r="W16" s="10">
        <v>4.13</v>
      </c>
      <c r="X16" s="10">
        <v>5.35</v>
      </c>
      <c r="Y16" s="10">
        <v>3.44</v>
      </c>
      <c r="Z16" s="10">
        <v>3.54</v>
      </c>
      <c r="AA16" s="10">
        <v>3.5</v>
      </c>
      <c r="AB16" s="10">
        <v>2.9</v>
      </c>
      <c r="AC16" s="10">
        <v>2</v>
      </c>
      <c r="AD16" s="10">
        <v>2.82</v>
      </c>
      <c r="AE16" s="10">
        <v>3.13</v>
      </c>
      <c r="AF16" s="10">
        <v>3.56</v>
      </c>
      <c r="AG16" s="10">
        <v>3.89</v>
      </c>
      <c r="AH16" s="10">
        <v>3.9</v>
      </c>
      <c r="AI16" s="10">
        <v>3.73</v>
      </c>
      <c r="AJ16" s="10">
        <v>4.1399999999999997</v>
      </c>
      <c r="AK16" s="10">
        <v>5.25</v>
      </c>
      <c r="AL16" s="10">
        <v>5.34</v>
      </c>
      <c r="AM16" s="10">
        <v>4.91</v>
      </c>
      <c r="AN16" s="10">
        <v>5.68</v>
      </c>
      <c r="AO16" s="10">
        <v>3.48</v>
      </c>
      <c r="AP16" s="10">
        <v>5.08</v>
      </c>
      <c r="AQ16" s="10">
        <v>3.9</v>
      </c>
      <c r="AR16" s="10">
        <v>3.85</v>
      </c>
      <c r="AS16" s="10">
        <v>3.4</v>
      </c>
      <c r="AT16" s="10">
        <v>4.07</v>
      </c>
      <c r="AU16" s="10">
        <v>4.4400000000000004</v>
      </c>
      <c r="AV16" s="10">
        <v>3.35</v>
      </c>
      <c r="AW16" s="10">
        <v>3.94</v>
      </c>
      <c r="AX16" s="10">
        <v>3.9</v>
      </c>
      <c r="AY16" s="10">
        <v>3.66</v>
      </c>
      <c r="AZ16" s="10">
        <v>3.5</v>
      </c>
      <c r="BA16" s="10">
        <v>4.8</v>
      </c>
      <c r="BB16" s="10">
        <v>4.5599999999999996</v>
      </c>
      <c r="BC16" s="10">
        <v>4.8499999999999996</v>
      </c>
      <c r="BD16" s="10">
        <v>5</v>
      </c>
      <c r="BE16" s="10">
        <v>3.6</v>
      </c>
      <c r="BF16" s="10">
        <v>3.62</v>
      </c>
      <c r="BG16" s="10">
        <v>3.76</v>
      </c>
      <c r="BH16" s="10">
        <v>4.42</v>
      </c>
      <c r="BI16" s="10">
        <v>4.12</v>
      </c>
      <c r="BJ16" s="10">
        <v>4</v>
      </c>
      <c r="BK16" s="10">
        <v>4</v>
      </c>
      <c r="BL16" s="10">
        <v>3.9</v>
      </c>
    </row>
    <row r="17" spans="1:64" x14ac:dyDescent="0.25">
      <c r="A17" s="10">
        <v>3.53</v>
      </c>
      <c r="B17" s="10">
        <v>3.15</v>
      </c>
      <c r="C17" s="10">
        <v>3.6</v>
      </c>
      <c r="D17" s="10">
        <v>3.74</v>
      </c>
      <c r="E17" s="10">
        <v>5.37</v>
      </c>
      <c r="F17" s="10">
        <v>4.84</v>
      </c>
      <c r="G17" s="10">
        <v>5.05</v>
      </c>
      <c r="H17" s="10">
        <v>4.92</v>
      </c>
      <c r="I17" s="10">
        <v>3.9</v>
      </c>
      <c r="J17" s="10">
        <v>3.25</v>
      </c>
      <c r="K17" s="10">
        <v>3.36</v>
      </c>
      <c r="L17" s="10">
        <v>3.4</v>
      </c>
      <c r="M17" s="10">
        <v>3.5</v>
      </c>
      <c r="N17" s="10">
        <v>3.23</v>
      </c>
      <c r="O17" s="10">
        <v>3.28</v>
      </c>
      <c r="P17" s="10">
        <v>3.2</v>
      </c>
      <c r="Q17" s="10">
        <v>4.26</v>
      </c>
      <c r="R17" s="10">
        <v>3</v>
      </c>
      <c r="S17" s="10">
        <v>3.36</v>
      </c>
      <c r="T17" s="10">
        <v>4.1500000000000004</v>
      </c>
      <c r="U17" s="10">
        <v>4.49</v>
      </c>
      <c r="V17" s="10">
        <v>6.24</v>
      </c>
      <c r="W17" s="10">
        <v>5.0199999999999996</v>
      </c>
      <c r="X17" s="10">
        <v>4.13</v>
      </c>
      <c r="Y17" s="10">
        <v>3.47</v>
      </c>
      <c r="Z17" s="10">
        <v>4.0599999999999996</v>
      </c>
      <c r="AA17" s="10">
        <v>3.42</v>
      </c>
      <c r="AB17" s="10">
        <v>3.5</v>
      </c>
      <c r="AC17" s="10">
        <v>4</v>
      </c>
      <c r="AD17" s="10">
        <v>3</v>
      </c>
      <c r="AE17" s="10">
        <v>4.45</v>
      </c>
      <c r="AF17" s="10">
        <v>3.74</v>
      </c>
      <c r="AG17" s="10">
        <v>3.07</v>
      </c>
      <c r="AH17" s="10">
        <v>4.18</v>
      </c>
      <c r="AI17" s="10">
        <v>4.2300000000000004</v>
      </c>
      <c r="AJ17" s="10">
        <v>3.44</v>
      </c>
      <c r="AK17" s="10">
        <v>5.1100000000000003</v>
      </c>
      <c r="AL17" s="10">
        <v>4.84</v>
      </c>
      <c r="AM17" s="10">
        <v>5.35</v>
      </c>
      <c r="AN17" s="10">
        <v>5.57</v>
      </c>
      <c r="AO17" s="10">
        <v>3.62</v>
      </c>
      <c r="AP17" s="10">
        <v>4.08</v>
      </c>
      <c r="AQ17" s="10">
        <v>3.28</v>
      </c>
      <c r="AR17" s="10">
        <v>4.05</v>
      </c>
      <c r="AS17" s="10">
        <v>3.75</v>
      </c>
      <c r="AT17" s="10">
        <v>2</v>
      </c>
      <c r="AU17" s="10">
        <v>3.87</v>
      </c>
      <c r="AV17" s="10">
        <v>3.02</v>
      </c>
      <c r="AW17" s="10">
        <v>3.9</v>
      </c>
      <c r="AX17" s="10">
        <v>3.64</v>
      </c>
      <c r="AY17" s="10">
        <v>3.73</v>
      </c>
      <c r="AZ17" s="10">
        <v>3.58</v>
      </c>
      <c r="BA17" s="10">
        <v>4.51</v>
      </c>
      <c r="BB17" s="10">
        <v>4.79</v>
      </c>
      <c r="BC17" s="10">
        <v>5.03</v>
      </c>
      <c r="BD17" s="10">
        <v>4.84</v>
      </c>
      <c r="BE17" s="10">
        <v>3.58</v>
      </c>
      <c r="BF17" s="10">
        <v>3.62</v>
      </c>
      <c r="BG17" s="10">
        <v>3.37</v>
      </c>
      <c r="BH17" s="10">
        <v>3.15</v>
      </c>
      <c r="BI17" s="10">
        <v>3.73</v>
      </c>
      <c r="BJ17" s="10">
        <v>3.32</v>
      </c>
      <c r="BK17" s="10">
        <v>4</v>
      </c>
      <c r="BL17" s="10">
        <v>3.9</v>
      </c>
    </row>
    <row r="20" spans="1:64" ht="15.75" x14ac:dyDescent="0.25">
      <c r="A20" s="13" t="s">
        <v>99</v>
      </c>
      <c r="B20" s="13" t="s">
        <v>1</v>
      </c>
      <c r="C20" s="13" t="s">
        <v>4</v>
      </c>
      <c r="D20" s="13" t="s">
        <v>6</v>
      </c>
      <c r="E20" s="13" t="s">
        <v>9</v>
      </c>
      <c r="G20" s="30" t="s">
        <v>105</v>
      </c>
      <c r="O20" s="4" t="s">
        <v>159</v>
      </c>
    </row>
    <row r="21" spans="1:64" x14ac:dyDescent="0.25">
      <c r="A21" s="68" t="s">
        <v>72</v>
      </c>
      <c r="B21" s="7" cm="1">
        <f t="array" ref="B21:B35">A3:A17</f>
        <v>2</v>
      </c>
      <c r="C21" s="7" cm="1">
        <f t="array" ref="C21:C35">Q3:Q17</f>
        <v>3.9</v>
      </c>
      <c r="D21" s="7" cm="1">
        <f t="array" ref="D21:D35">AG3:AG17</f>
        <v>3.81</v>
      </c>
      <c r="E21" s="7" cm="1">
        <f t="array" ref="E21:E35">AW3:AW17</f>
        <v>3.8</v>
      </c>
      <c r="O21" s="14" t="s">
        <v>160</v>
      </c>
      <c r="P21" s="14" t="s">
        <v>100</v>
      </c>
      <c r="Q21" s="14" t="s">
        <v>91</v>
      </c>
    </row>
    <row r="22" spans="1:64" ht="15.75" thickBot="1" x14ac:dyDescent="0.3">
      <c r="A22" s="68"/>
      <c r="B22" s="7">
        <v>3</v>
      </c>
      <c r="C22" s="7">
        <v>3.24</v>
      </c>
      <c r="D22" s="7">
        <v>3.19</v>
      </c>
      <c r="E22" s="7">
        <v>4.42</v>
      </c>
      <c r="G22" s="4" t="s">
        <v>106</v>
      </c>
      <c r="O22" s="8" t="s">
        <v>1</v>
      </c>
      <c r="P22" s="7">
        <f>COUNTIF(B21:B260,"&gt;4")</f>
        <v>62</v>
      </c>
      <c r="Q22" s="9">
        <f>P22/$P$26</f>
        <v>0.21379310344827587</v>
      </c>
    </row>
    <row r="23" spans="1:64" x14ac:dyDescent="0.25">
      <c r="A23" s="68"/>
      <c r="B23" s="7">
        <v>3.9</v>
      </c>
      <c r="C23" s="7">
        <v>3.98</v>
      </c>
      <c r="D23" s="7">
        <v>3.65</v>
      </c>
      <c r="E23" s="7">
        <v>3.89</v>
      </c>
      <c r="G23" s="29" t="s">
        <v>107</v>
      </c>
      <c r="H23" s="29" t="s">
        <v>108</v>
      </c>
      <c r="I23" s="29" t="s">
        <v>109</v>
      </c>
      <c r="J23" s="29" t="s">
        <v>110</v>
      </c>
      <c r="K23" s="29" t="s">
        <v>111</v>
      </c>
      <c r="O23" s="8" t="s">
        <v>4</v>
      </c>
      <c r="P23" s="7">
        <f>COUNTIF(C21:C260,"&gt;4")</f>
        <v>61</v>
      </c>
      <c r="Q23" s="9">
        <f t="shared" ref="Q23:Q25" si="0">P23/$P$26</f>
        <v>0.2103448275862069</v>
      </c>
    </row>
    <row r="24" spans="1:64" x14ac:dyDescent="0.25">
      <c r="A24" s="68"/>
      <c r="B24" s="7">
        <v>3.01</v>
      </c>
      <c r="C24" s="7">
        <v>2.79</v>
      </c>
      <c r="D24" s="7">
        <v>3.84</v>
      </c>
      <c r="E24" s="7">
        <v>4.0199999999999996</v>
      </c>
      <c r="G24" s="27" t="s">
        <v>1</v>
      </c>
      <c r="H24" s="27">
        <v>240</v>
      </c>
      <c r="I24" s="34">
        <v>899.57000000000028</v>
      </c>
      <c r="J24" s="34">
        <v>3.7482083333333347</v>
      </c>
      <c r="K24" s="34">
        <v>0.52873108612271857</v>
      </c>
      <c r="O24" s="8" t="s">
        <v>6</v>
      </c>
      <c r="P24" s="7">
        <f>COUNTIF(D21:D260,"&gt;4")</f>
        <v>75</v>
      </c>
      <c r="Q24" s="9">
        <f t="shared" si="0"/>
        <v>0.25862068965517243</v>
      </c>
    </row>
    <row r="25" spans="1:64" x14ac:dyDescent="0.25">
      <c r="A25" s="68"/>
      <c r="B25" s="7">
        <v>3.92</v>
      </c>
      <c r="C25" s="7">
        <v>3.62</v>
      </c>
      <c r="D25" s="7">
        <v>3.54</v>
      </c>
      <c r="E25" s="7">
        <v>4.0599999999999996</v>
      </c>
      <c r="G25" s="27" t="s">
        <v>4</v>
      </c>
      <c r="H25" s="27">
        <v>240</v>
      </c>
      <c r="I25" s="34">
        <v>917.31000000000006</v>
      </c>
      <c r="J25" s="34">
        <v>3.8221250000000002</v>
      </c>
      <c r="K25" s="34">
        <v>0.60023605125521717</v>
      </c>
      <c r="O25" s="8" t="s">
        <v>9</v>
      </c>
      <c r="P25" s="7">
        <f>COUNTIF(E21:E260,"&gt;4")</f>
        <v>92</v>
      </c>
      <c r="Q25" s="9">
        <f t="shared" si="0"/>
        <v>0.31724137931034485</v>
      </c>
    </row>
    <row r="26" spans="1:64" x14ac:dyDescent="0.25">
      <c r="A26" s="68"/>
      <c r="B26" s="7">
        <v>3.4</v>
      </c>
      <c r="C26" s="7">
        <v>3.15</v>
      </c>
      <c r="D26" s="7">
        <v>4</v>
      </c>
      <c r="E26" s="7">
        <v>3.75</v>
      </c>
      <c r="G26" s="27" t="s">
        <v>6</v>
      </c>
      <c r="H26" s="27">
        <v>240</v>
      </c>
      <c r="I26" s="34">
        <v>940.09000000000026</v>
      </c>
      <c r="J26" s="34">
        <v>3.9170416666666679</v>
      </c>
      <c r="K26" s="34">
        <v>0.45828451708506363</v>
      </c>
      <c r="O26" s="56" t="s">
        <v>122</v>
      </c>
      <c r="P26" s="7">
        <f>SUM(P22:P25)</f>
        <v>290</v>
      </c>
      <c r="Q26" s="9">
        <f>SUM(Q22:Q25)</f>
        <v>1</v>
      </c>
    </row>
    <row r="27" spans="1:64" ht="15.75" thickBot="1" x14ac:dyDescent="0.3">
      <c r="A27" s="68"/>
      <c r="B27" s="7">
        <v>3.38</v>
      </c>
      <c r="C27" s="7">
        <v>3.49</v>
      </c>
      <c r="D27" s="7">
        <v>3.4</v>
      </c>
      <c r="E27" s="7">
        <v>4.42</v>
      </c>
      <c r="G27" s="28" t="s">
        <v>9</v>
      </c>
      <c r="H27" s="28">
        <v>240</v>
      </c>
      <c r="I27" s="35">
        <v>963.61</v>
      </c>
      <c r="J27" s="35">
        <v>4.0150416666666668</v>
      </c>
      <c r="K27" s="35">
        <v>0.54554225767084963</v>
      </c>
    </row>
    <row r="28" spans="1:64" ht="15.75" thickBot="1" x14ac:dyDescent="0.3">
      <c r="A28" s="68"/>
      <c r="B28" s="7">
        <v>3.95</v>
      </c>
      <c r="C28" s="7">
        <v>3.43</v>
      </c>
      <c r="D28" s="7">
        <v>3.69</v>
      </c>
      <c r="E28" s="7">
        <v>3.29</v>
      </c>
      <c r="O28" s="4" t="s">
        <v>161</v>
      </c>
    </row>
    <row r="29" spans="1:64" x14ac:dyDescent="0.25">
      <c r="A29" s="68"/>
      <c r="B29" s="7">
        <v>3.15</v>
      </c>
      <c r="C29" s="7">
        <v>2.92</v>
      </c>
      <c r="D29" s="7">
        <v>3.59</v>
      </c>
      <c r="E29" s="7">
        <v>3.79</v>
      </c>
      <c r="O29" s="69" t="s">
        <v>1</v>
      </c>
      <c r="P29" s="57" t="s">
        <v>93</v>
      </c>
      <c r="Q29" s="58">
        <f>(4-2)/(6*_xlfn.STDEV.S(B21:B260))</f>
        <v>0.45841764186684991</v>
      </c>
    </row>
    <row r="30" spans="1:64" ht="15.75" thickBot="1" x14ac:dyDescent="0.3">
      <c r="A30" s="68"/>
      <c r="B30" s="7">
        <v>3.6</v>
      </c>
      <c r="C30" s="7">
        <v>3.34</v>
      </c>
      <c r="D30" s="7">
        <v>3.27</v>
      </c>
      <c r="E30" s="7">
        <v>3.92</v>
      </c>
      <c r="G30" t="s">
        <v>112</v>
      </c>
      <c r="O30" s="70"/>
      <c r="P30" s="7" t="s">
        <v>94</v>
      </c>
      <c r="Q30" s="59">
        <f>MIN((4-AVERAGE(B21:B260))/(3*_xlfn.STDEV.S(B21:B260)),(AVERAGE(B21:B260)-2)/(3*_xlfn.STDEV.S(B21:B260)))</f>
        <v>0.11542574207505663</v>
      </c>
    </row>
    <row r="31" spans="1:64" x14ac:dyDescent="0.25">
      <c r="A31" s="68"/>
      <c r="B31" s="7">
        <v>2.88</v>
      </c>
      <c r="C31" s="7">
        <v>3.87</v>
      </c>
      <c r="D31" s="7">
        <v>3.53</v>
      </c>
      <c r="E31" s="7">
        <v>3.3</v>
      </c>
      <c r="G31" s="29" t="s">
        <v>113</v>
      </c>
      <c r="H31" s="29" t="s">
        <v>114</v>
      </c>
      <c r="I31" s="29" t="s">
        <v>115</v>
      </c>
      <c r="J31" s="29" t="s">
        <v>116</v>
      </c>
      <c r="K31" s="29" t="s">
        <v>117</v>
      </c>
      <c r="L31" s="29" t="s">
        <v>118</v>
      </c>
      <c r="M31" s="29" t="s">
        <v>119</v>
      </c>
      <c r="O31" s="70" t="s">
        <v>4</v>
      </c>
      <c r="P31" s="7" t="s">
        <v>93</v>
      </c>
      <c r="Q31" s="59">
        <f>(4-2)/(6*_xlfn.STDEV.S(C21:C260))</f>
        <v>0.43024685764207588</v>
      </c>
    </row>
    <row r="32" spans="1:64" x14ac:dyDescent="0.25">
      <c r="A32" s="68"/>
      <c r="B32" s="7">
        <v>3.02</v>
      </c>
      <c r="C32" s="7">
        <v>3.33</v>
      </c>
      <c r="D32" s="7">
        <v>3.19</v>
      </c>
      <c r="E32" s="7">
        <v>3.91</v>
      </c>
      <c r="G32" s="27" t="s">
        <v>120</v>
      </c>
      <c r="H32" s="34">
        <v>9.6599045833329455</v>
      </c>
      <c r="I32" s="27">
        <v>3</v>
      </c>
      <c r="J32" s="33">
        <v>3.219968194444315</v>
      </c>
      <c r="K32" s="33">
        <v>6.0389673397420562</v>
      </c>
      <c r="L32" s="32">
        <v>4.4897784140066006E-4</v>
      </c>
      <c r="M32" s="33">
        <v>2.6142138283692344</v>
      </c>
      <c r="O32" s="70"/>
      <c r="P32" s="7" t="s">
        <v>94</v>
      </c>
      <c r="Q32" s="59">
        <f>MIN((4-AVERAGE(C21:C260))/(3*_xlfn.STDEV.S(C21:C260)),(AVERAGE(C21:C260)-2)/(3*_xlfn.STDEV.S(C21:C260)))</f>
        <v>7.6530159803084155E-2</v>
      </c>
    </row>
    <row r="33" spans="1:17" x14ac:dyDescent="0.25">
      <c r="A33" s="68"/>
      <c r="B33" s="7">
        <v>4</v>
      </c>
      <c r="C33" s="7">
        <v>3.6</v>
      </c>
      <c r="D33" s="7">
        <v>2.89</v>
      </c>
      <c r="E33" s="7">
        <v>2.1</v>
      </c>
      <c r="G33" s="27" t="s">
        <v>121</v>
      </c>
      <c r="H33" s="34">
        <v>509.73774500000002</v>
      </c>
      <c r="I33" s="27">
        <v>956</v>
      </c>
      <c r="J33" s="33">
        <v>0.53319847803347287</v>
      </c>
      <c r="K33" s="33"/>
      <c r="L33" s="33"/>
      <c r="M33" s="33"/>
      <c r="O33" s="70" t="s">
        <v>6</v>
      </c>
      <c r="P33" s="7" t="s">
        <v>93</v>
      </c>
      <c r="Q33" s="59">
        <f>(4-2)/(6*_xlfn.STDEV.S(D21:D260))</f>
        <v>0.49239218651291378</v>
      </c>
    </row>
    <row r="34" spans="1:17" x14ac:dyDescent="0.25">
      <c r="A34" s="68"/>
      <c r="B34" s="7">
        <v>3.62</v>
      </c>
      <c r="C34" s="7">
        <v>3.69</v>
      </c>
      <c r="D34" s="7">
        <v>3.89</v>
      </c>
      <c r="E34" s="7">
        <v>3.94</v>
      </c>
      <c r="G34" s="27"/>
      <c r="H34" s="34"/>
      <c r="I34" s="27"/>
      <c r="J34" s="27"/>
      <c r="K34" s="27"/>
      <c r="L34" s="27"/>
      <c r="M34" s="27"/>
      <c r="O34" s="70"/>
      <c r="P34" s="7" t="s">
        <v>94</v>
      </c>
      <c r="Q34" s="59">
        <f>MIN((4-AVERAGE(D21:D260))/(3*_xlfn.STDEV.S(D21:D260)),(AVERAGE(D21:D260)-2)/(3*_xlfn.STDEV.S(D21:D260)))</f>
        <v>4.0848035139466547E-2</v>
      </c>
    </row>
    <row r="35" spans="1:17" ht="15.75" thickBot="1" x14ac:dyDescent="0.3">
      <c r="A35" s="68"/>
      <c r="B35" s="7">
        <v>3.53</v>
      </c>
      <c r="C35" s="7">
        <v>4.26</v>
      </c>
      <c r="D35" s="7">
        <v>3.07</v>
      </c>
      <c r="E35" s="7">
        <v>3.9</v>
      </c>
      <c r="G35" s="28" t="s">
        <v>122</v>
      </c>
      <c r="H35" s="35">
        <v>519.39764958333296</v>
      </c>
      <c r="I35" s="28">
        <v>959</v>
      </c>
      <c r="J35" s="28"/>
      <c r="K35" s="28"/>
      <c r="L35" s="28"/>
      <c r="M35" s="28"/>
      <c r="O35" s="70" t="s">
        <v>9</v>
      </c>
      <c r="P35" s="7" t="s">
        <v>93</v>
      </c>
      <c r="Q35" s="59">
        <f>(4-2)/(6*_xlfn.STDEV.S(E21:E260))</f>
        <v>0.45129918263561031</v>
      </c>
    </row>
    <row r="36" spans="1:17" ht="15.75" thickBot="1" x14ac:dyDescent="0.3">
      <c r="A36" s="68" t="s">
        <v>73</v>
      </c>
      <c r="B36" s="7" cm="1">
        <f t="array" ref="B36:B50">B3:B17</f>
        <v>3.34</v>
      </c>
      <c r="C36" s="7" cm="1">
        <f t="array" ref="C36:C50">R3:R17</f>
        <v>3.75</v>
      </c>
      <c r="D36" s="7" cm="1">
        <f t="array" ref="D36:D50">AH3:AH17</f>
        <v>3.9</v>
      </c>
      <c r="E36" s="7" cm="1">
        <f t="array" ref="E36:E50">AX3:AX17</f>
        <v>4.7300000000000004</v>
      </c>
      <c r="O36" s="71"/>
      <c r="P36" s="41" t="s">
        <v>94</v>
      </c>
      <c r="Q36" s="60">
        <f>MIN((4-AVERAGE(E21:E260))/(3*_xlfn.STDEV.S(E21:E260)),(AVERAGE(E21:E260)-2)/(3*_xlfn.STDEV.S(E21:E260)))</f>
        <v>-6.7882918721440507E-3</v>
      </c>
    </row>
    <row r="37" spans="1:17" x14ac:dyDescent="0.25">
      <c r="A37" s="68"/>
      <c r="B37" s="7">
        <v>3.49</v>
      </c>
      <c r="C37" s="7">
        <v>2</v>
      </c>
      <c r="D37" s="7">
        <v>3.5</v>
      </c>
      <c r="E37" s="7">
        <v>4</v>
      </c>
      <c r="G37" t="s">
        <v>126</v>
      </c>
    </row>
    <row r="38" spans="1:17" x14ac:dyDescent="0.25">
      <c r="A38" s="68"/>
      <c r="B38" s="7">
        <v>3.71</v>
      </c>
      <c r="C38" s="7">
        <v>2.1</v>
      </c>
      <c r="D38" s="7">
        <v>3.65</v>
      </c>
      <c r="E38" s="7">
        <v>3.62</v>
      </c>
      <c r="G38" t="s">
        <v>127</v>
      </c>
    </row>
    <row r="39" spans="1:17" x14ac:dyDescent="0.25">
      <c r="A39" s="68"/>
      <c r="B39" s="7">
        <v>3.42</v>
      </c>
      <c r="C39" s="7">
        <v>3.55</v>
      </c>
      <c r="D39" s="7">
        <v>3.2</v>
      </c>
      <c r="E39" s="7">
        <v>4.1900000000000004</v>
      </c>
      <c r="G39" t="s">
        <v>128</v>
      </c>
    </row>
    <row r="40" spans="1:17" x14ac:dyDescent="0.25">
      <c r="A40" s="68"/>
      <c r="B40" s="7">
        <v>3.8</v>
      </c>
      <c r="C40" s="7">
        <v>3.38</v>
      </c>
      <c r="D40" s="7">
        <v>3.61</v>
      </c>
      <c r="E40" s="7">
        <v>3.71</v>
      </c>
    </row>
    <row r="41" spans="1:17" ht="15.75" thickBot="1" x14ac:dyDescent="0.3">
      <c r="A41" s="68"/>
      <c r="B41" s="7">
        <v>3.19</v>
      </c>
      <c r="C41" s="7">
        <v>3.61</v>
      </c>
      <c r="D41" s="7">
        <v>3.62</v>
      </c>
      <c r="E41" s="7">
        <v>3.11</v>
      </c>
    </row>
    <row r="42" spans="1:17" x14ac:dyDescent="0.25">
      <c r="A42" s="68"/>
      <c r="B42" s="7">
        <v>3.62</v>
      </c>
      <c r="C42" s="7">
        <v>3.5</v>
      </c>
      <c r="D42" s="7">
        <v>3.39</v>
      </c>
      <c r="E42" s="7">
        <v>3.7</v>
      </c>
      <c r="G42" s="77" t="s">
        <v>1</v>
      </c>
      <c r="H42" s="78"/>
      <c r="I42" s="77" t="s">
        <v>4</v>
      </c>
      <c r="J42" s="78"/>
      <c r="K42" s="77" t="s">
        <v>6</v>
      </c>
      <c r="L42" s="78"/>
      <c r="M42" s="77" t="s">
        <v>9</v>
      </c>
      <c r="N42" s="78"/>
    </row>
    <row r="43" spans="1:17" x14ac:dyDescent="0.25">
      <c r="A43" s="68"/>
      <c r="B43" s="7">
        <v>3.6</v>
      </c>
      <c r="C43" s="7">
        <v>3.55</v>
      </c>
      <c r="D43" s="7">
        <v>3.75</v>
      </c>
      <c r="E43" s="7">
        <v>3.79</v>
      </c>
      <c r="G43" s="61"/>
      <c r="H43" s="62"/>
      <c r="I43" s="61"/>
      <c r="J43" s="62"/>
      <c r="K43" s="61"/>
      <c r="L43" s="62"/>
      <c r="M43" s="66"/>
      <c r="N43" s="62"/>
    </row>
    <row r="44" spans="1:17" x14ac:dyDescent="0.25">
      <c r="A44" s="68"/>
      <c r="B44" s="7">
        <v>3.9</v>
      </c>
      <c r="C44" s="7">
        <v>3.14</v>
      </c>
      <c r="D44" s="7">
        <v>3.33</v>
      </c>
      <c r="E44" s="7">
        <v>3.76</v>
      </c>
      <c r="G44" s="61" t="s">
        <v>89</v>
      </c>
      <c r="H44" s="63">
        <v>3.7482083333333347</v>
      </c>
      <c r="I44" s="61" t="s">
        <v>89</v>
      </c>
      <c r="J44" s="63">
        <v>3.8221250000000002</v>
      </c>
      <c r="K44" s="61" t="s">
        <v>89</v>
      </c>
      <c r="L44" s="63">
        <v>3.9170416666666679</v>
      </c>
      <c r="M44" s="66" t="s">
        <v>89</v>
      </c>
      <c r="N44" s="63">
        <v>4.0150416666666668</v>
      </c>
    </row>
    <row r="45" spans="1:17" x14ac:dyDescent="0.25">
      <c r="A45" s="68"/>
      <c r="B45" s="7">
        <v>2.98</v>
      </c>
      <c r="C45" s="7">
        <v>3.98</v>
      </c>
      <c r="D45" s="7">
        <v>3.61</v>
      </c>
      <c r="E45" s="7">
        <v>2.84</v>
      </c>
      <c r="G45" s="61" t="s">
        <v>148</v>
      </c>
      <c r="H45" s="63">
        <v>4.6936618883106546E-2</v>
      </c>
      <c r="I45" s="61" t="s">
        <v>148</v>
      </c>
      <c r="J45" s="63">
        <v>5.0009834501793124E-2</v>
      </c>
      <c r="K45" s="61" t="s">
        <v>148</v>
      </c>
      <c r="L45" s="63">
        <v>4.3698041388462304E-2</v>
      </c>
      <c r="M45" s="66" t="s">
        <v>148</v>
      </c>
      <c r="N45" s="63">
        <v>4.7676962364387343E-2</v>
      </c>
    </row>
    <row r="46" spans="1:17" x14ac:dyDescent="0.25">
      <c r="A46" s="68"/>
      <c r="B46" s="7">
        <v>3.77</v>
      </c>
      <c r="C46" s="7">
        <v>3.75</v>
      </c>
      <c r="D46" s="7">
        <v>3.48</v>
      </c>
      <c r="E46" s="7">
        <v>3.55</v>
      </c>
      <c r="G46" s="61" t="s">
        <v>149</v>
      </c>
      <c r="H46" s="63">
        <v>3.58</v>
      </c>
      <c r="I46" s="61" t="s">
        <v>149</v>
      </c>
      <c r="J46" s="63">
        <v>3.61</v>
      </c>
      <c r="K46" s="61" t="s">
        <v>149</v>
      </c>
      <c r="L46" s="63">
        <v>3.7450000000000001</v>
      </c>
      <c r="M46" s="66" t="s">
        <v>149</v>
      </c>
      <c r="N46" s="63">
        <v>3.9</v>
      </c>
    </row>
    <row r="47" spans="1:17" x14ac:dyDescent="0.25">
      <c r="A47" s="68"/>
      <c r="B47" s="7">
        <v>3.12</v>
      </c>
      <c r="C47" s="7">
        <v>3.21</v>
      </c>
      <c r="D47" s="7">
        <v>3.7</v>
      </c>
      <c r="E47" s="7">
        <v>4.03</v>
      </c>
      <c r="G47" s="61" t="s">
        <v>150</v>
      </c>
      <c r="H47" s="63">
        <v>3.9</v>
      </c>
      <c r="I47" s="61" t="s">
        <v>150</v>
      </c>
      <c r="J47" s="63">
        <v>3.61</v>
      </c>
      <c r="K47" s="61" t="s">
        <v>150</v>
      </c>
      <c r="L47" s="63">
        <v>3.9</v>
      </c>
      <c r="M47" s="66" t="s">
        <v>150</v>
      </c>
      <c r="N47" s="63">
        <v>3.9</v>
      </c>
    </row>
    <row r="48" spans="1:17" x14ac:dyDescent="0.25">
      <c r="A48" s="68"/>
      <c r="B48" s="7">
        <v>3.2</v>
      </c>
      <c r="C48" s="7">
        <v>3.02</v>
      </c>
      <c r="D48" s="7">
        <v>4.34</v>
      </c>
      <c r="E48" s="7">
        <v>3.72</v>
      </c>
      <c r="G48" s="61" t="s">
        <v>90</v>
      </c>
      <c r="H48" s="63">
        <v>0.72713897304622488</v>
      </c>
      <c r="I48" s="61" t="s">
        <v>90</v>
      </c>
      <c r="J48" s="63">
        <v>0.77474902468813545</v>
      </c>
      <c r="K48" s="61" t="s">
        <v>90</v>
      </c>
      <c r="L48" s="63">
        <v>0.6769671462375878</v>
      </c>
      <c r="M48" s="66" t="s">
        <v>90</v>
      </c>
      <c r="N48" s="63">
        <v>0.73860832494011985</v>
      </c>
    </row>
    <row r="49" spans="1:14" x14ac:dyDescent="0.25">
      <c r="A49" s="68"/>
      <c r="B49" s="7">
        <v>2.99</v>
      </c>
      <c r="C49" s="7">
        <v>3.46</v>
      </c>
      <c r="D49" s="7">
        <v>3.9</v>
      </c>
      <c r="E49" s="7">
        <v>3.9</v>
      </c>
      <c r="G49" s="61" t="s">
        <v>151</v>
      </c>
      <c r="H49" s="63">
        <v>0.52873108612271857</v>
      </c>
      <c r="I49" s="61" t="s">
        <v>151</v>
      </c>
      <c r="J49" s="63">
        <v>0.60023605125521717</v>
      </c>
      <c r="K49" s="61" t="s">
        <v>151</v>
      </c>
      <c r="L49" s="63">
        <v>0.45828451708506363</v>
      </c>
      <c r="M49" s="66" t="s">
        <v>151</v>
      </c>
      <c r="N49" s="63">
        <v>0.54554225767084963</v>
      </c>
    </row>
    <row r="50" spans="1:14" x14ac:dyDescent="0.25">
      <c r="A50" s="68"/>
      <c r="B50" s="7">
        <v>3.15</v>
      </c>
      <c r="C50" s="7">
        <v>3</v>
      </c>
      <c r="D50" s="7">
        <v>4.18</v>
      </c>
      <c r="E50" s="7">
        <v>3.64</v>
      </c>
      <c r="G50" s="61" t="s">
        <v>152</v>
      </c>
      <c r="H50" s="63">
        <v>1.0264218368731926</v>
      </c>
      <c r="I50" s="61" t="s">
        <v>152</v>
      </c>
      <c r="J50" s="63">
        <v>1.5226602763432209</v>
      </c>
      <c r="K50" s="61" t="s">
        <v>152</v>
      </c>
      <c r="L50" s="63">
        <v>0.73538944472616041</v>
      </c>
      <c r="M50" s="66" t="s">
        <v>152</v>
      </c>
      <c r="N50" s="63">
        <v>2.7127576347852531</v>
      </c>
    </row>
    <row r="51" spans="1:14" x14ac:dyDescent="0.25">
      <c r="A51" s="68" t="s">
        <v>74</v>
      </c>
      <c r="B51" s="7" cm="1">
        <f t="array" ref="B51:B65">C3:C17</f>
        <v>2.91</v>
      </c>
      <c r="C51" s="7" cm="1">
        <f t="array" ref="C51:C65">S3:S17</f>
        <v>3.38</v>
      </c>
      <c r="D51" s="7" cm="1">
        <f t="array" ref="D51:D65">AI3:AI17</f>
        <v>3.56</v>
      </c>
      <c r="E51" s="7" cm="1">
        <f t="array" ref="E51:E65">AY3:AY17</f>
        <v>2</v>
      </c>
      <c r="G51" s="61" t="s">
        <v>153</v>
      </c>
      <c r="H51" s="63">
        <v>1.0444375706163767</v>
      </c>
      <c r="I51" s="61" t="s">
        <v>153</v>
      </c>
      <c r="J51" s="63">
        <v>1.1800640877041944</v>
      </c>
      <c r="K51" s="61" t="s">
        <v>153</v>
      </c>
      <c r="L51" s="63">
        <v>0.84028314844336316</v>
      </c>
      <c r="M51" s="66" t="s">
        <v>153</v>
      </c>
      <c r="N51" s="63">
        <v>1.0730034046945021</v>
      </c>
    </row>
    <row r="52" spans="1:14" x14ac:dyDescent="0.25">
      <c r="A52" s="68"/>
      <c r="B52" s="7">
        <v>3.45</v>
      </c>
      <c r="C52" s="7">
        <v>3.92</v>
      </c>
      <c r="D52" s="7">
        <v>2.99</v>
      </c>
      <c r="E52" s="7">
        <v>3.91</v>
      </c>
      <c r="G52" s="61" t="s">
        <v>154</v>
      </c>
      <c r="H52" s="63">
        <v>4.3099999999999996</v>
      </c>
      <c r="I52" s="61" t="s">
        <v>154</v>
      </c>
      <c r="J52" s="63">
        <v>4.5</v>
      </c>
      <c r="K52" s="61" t="s">
        <v>154</v>
      </c>
      <c r="L52" s="63">
        <v>3.91</v>
      </c>
      <c r="M52" s="66" t="s">
        <v>154</v>
      </c>
      <c r="N52" s="63">
        <v>5.63</v>
      </c>
    </row>
    <row r="53" spans="1:14" x14ac:dyDescent="0.25">
      <c r="A53" s="68"/>
      <c r="B53" s="7">
        <v>3.4</v>
      </c>
      <c r="C53" s="7">
        <v>3.39</v>
      </c>
      <c r="D53" s="7">
        <v>2</v>
      </c>
      <c r="E53" s="7">
        <v>3.9</v>
      </c>
      <c r="G53" s="61" t="s">
        <v>155</v>
      </c>
      <c r="H53" s="63">
        <v>2</v>
      </c>
      <c r="I53" s="61" t="s">
        <v>155</v>
      </c>
      <c r="J53" s="63">
        <v>2</v>
      </c>
      <c r="K53" s="61" t="s">
        <v>155</v>
      </c>
      <c r="L53" s="63">
        <v>2</v>
      </c>
      <c r="M53" s="66" t="s">
        <v>155</v>
      </c>
      <c r="N53" s="63">
        <v>2</v>
      </c>
    </row>
    <row r="54" spans="1:14" x14ac:dyDescent="0.25">
      <c r="A54" s="68"/>
      <c r="B54" s="7">
        <v>3</v>
      </c>
      <c r="C54" s="7">
        <v>3.64</v>
      </c>
      <c r="D54" s="7">
        <v>3.62</v>
      </c>
      <c r="E54" s="7">
        <v>3.67</v>
      </c>
      <c r="G54" s="61" t="s">
        <v>156</v>
      </c>
      <c r="H54" s="63">
        <v>6.31</v>
      </c>
      <c r="I54" s="61" t="s">
        <v>156</v>
      </c>
      <c r="J54" s="63">
        <v>6.5</v>
      </c>
      <c r="K54" s="61" t="s">
        <v>156</v>
      </c>
      <c r="L54" s="63">
        <v>5.91</v>
      </c>
      <c r="M54" s="66" t="s">
        <v>156</v>
      </c>
      <c r="N54" s="63">
        <v>7.63</v>
      </c>
    </row>
    <row r="55" spans="1:14" x14ac:dyDescent="0.25">
      <c r="A55" s="68"/>
      <c r="B55" s="7">
        <v>3.68</v>
      </c>
      <c r="C55" s="7">
        <v>3.26</v>
      </c>
      <c r="D55" s="7">
        <v>3.84</v>
      </c>
      <c r="E55" s="7">
        <v>3.65</v>
      </c>
      <c r="G55" s="61" t="s">
        <v>109</v>
      </c>
      <c r="H55" s="63">
        <v>899.57000000000028</v>
      </c>
      <c r="I55" s="61" t="s">
        <v>109</v>
      </c>
      <c r="J55" s="63">
        <v>917.31000000000006</v>
      </c>
      <c r="K55" s="61" t="s">
        <v>109</v>
      </c>
      <c r="L55" s="63">
        <v>940.09000000000026</v>
      </c>
      <c r="M55" s="66" t="s">
        <v>109</v>
      </c>
      <c r="N55" s="63">
        <v>963.61</v>
      </c>
    </row>
    <row r="56" spans="1:14" ht="15.75" thickBot="1" x14ac:dyDescent="0.3">
      <c r="A56" s="68"/>
      <c r="B56" s="7">
        <v>3.17</v>
      </c>
      <c r="C56" s="7">
        <v>3.25</v>
      </c>
      <c r="D56" s="7">
        <v>3.27</v>
      </c>
      <c r="E56" s="7">
        <v>3.97</v>
      </c>
      <c r="G56" s="64" t="s">
        <v>108</v>
      </c>
      <c r="H56" s="65">
        <v>240</v>
      </c>
      <c r="I56" s="64" t="s">
        <v>108</v>
      </c>
      <c r="J56" s="65">
        <v>240</v>
      </c>
      <c r="K56" s="64" t="s">
        <v>108</v>
      </c>
      <c r="L56" s="65">
        <v>240</v>
      </c>
      <c r="M56" s="67" t="s">
        <v>108</v>
      </c>
      <c r="N56" s="65">
        <v>240</v>
      </c>
    </row>
    <row r="57" spans="1:14" x14ac:dyDescent="0.25">
      <c r="A57" s="68"/>
      <c r="B57" s="7">
        <v>3.2</v>
      </c>
      <c r="C57" s="7">
        <v>3.67</v>
      </c>
      <c r="D57" s="7">
        <v>3.9</v>
      </c>
      <c r="E57" s="7">
        <v>3.65</v>
      </c>
    </row>
    <row r="58" spans="1:14" x14ac:dyDescent="0.25">
      <c r="A58" s="68"/>
      <c r="B58" s="7">
        <v>3.88</v>
      </c>
      <c r="C58" s="7">
        <v>3.44</v>
      </c>
      <c r="D58" s="7">
        <v>3.69</v>
      </c>
      <c r="E58" s="7">
        <v>3.54</v>
      </c>
    </row>
    <row r="59" spans="1:14" x14ac:dyDescent="0.25">
      <c r="A59" s="68"/>
      <c r="B59" s="7">
        <v>3.31</v>
      </c>
      <c r="C59" s="7">
        <v>3.38</v>
      </c>
      <c r="D59" s="7">
        <v>3.69</v>
      </c>
      <c r="E59" s="7">
        <v>3.58</v>
      </c>
    </row>
    <row r="60" spans="1:14" x14ac:dyDescent="0.25">
      <c r="A60" s="68"/>
      <c r="B60" s="7">
        <v>3.35</v>
      </c>
      <c r="C60" s="7">
        <v>3.76</v>
      </c>
      <c r="D60" s="7">
        <v>3.55</v>
      </c>
      <c r="E60" s="7">
        <v>3.8</v>
      </c>
    </row>
    <row r="61" spans="1:14" x14ac:dyDescent="0.25">
      <c r="A61" s="68"/>
      <c r="B61" s="7">
        <v>3.32</v>
      </c>
      <c r="C61" s="7">
        <v>4.13</v>
      </c>
      <c r="D61" s="7">
        <v>3.43</v>
      </c>
      <c r="E61" s="7">
        <v>4.01</v>
      </c>
    </row>
    <row r="62" spans="1:14" x14ac:dyDescent="0.25">
      <c r="A62" s="68"/>
      <c r="B62" s="7">
        <v>3.13</v>
      </c>
      <c r="C62" s="7">
        <v>3.63</v>
      </c>
      <c r="D62" s="7">
        <v>3.48</v>
      </c>
      <c r="E62" s="7">
        <v>3.96</v>
      </c>
    </row>
    <row r="63" spans="1:14" x14ac:dyDescent="0.25">
      <c r="A63" s="68"/>
      <c r="B63" s="7">
        <v>4.05</v>
      </c>
      <c r="C63" s="7">
        <v>3.9</v>
      </c>
      <c r="D63" s="7">
        <v>3.9</v>
      </c>
      <c r="E63" s="7">
        <v>3.65</v>
      </c>
    </row>
    <row r="64" spans="1:14" x14ac:dyDescent="0.25">
      <c r="A64" s="68"/>
      <c r="B64" s="7">
        <v>3</v>
      </c>
      <c r="C64" s="7">
        <v>3.75</v>
      </c>
      <c r="D64" s="7">
        <v>3.73</v>
      </c>
      <c r="E64" s="7">
        <v>3.66</v>
      </c>
    </row>
    <row r="65" spans="1:5" x14ac:dyDescent="0.25">
      <c r="A65" s="68"/>
      <c r="B65" s="7">
        <v>3.6</v>
      </c>
      <c r="C65" s="7">
        <v>3.36</v>
      </c>
      <c r="D65" s="7">
        <v>4.2300000000000004</v>
      </c>
      <c r="E65" s="7">
        <v>3.73</v>
      </c>
    </row>
    <row r="66" spans="1:5" x14ac:dyDescent="0.25">
      <c r="A66" s="68" t="s">
        <v>75</v>
      </c>
      <c r="B66" s="7" cm="1">
        <f t="array" ref="B66:B80">D3:D17</f>
        <v>3.07</v>
      </c>
      <c r="C66" s="7" cm="1">
        <f t="array" ref="C66:C80">T3:T17</f>
        <v>3.38</v>
      </c>
      <c r="D66" s="7" cm="1">
        <f t="array" ref="D66:D80">AJ3:AJ17</f>
        <v>3.86</v>
      </c>
      <c r="E66" s="7" cm="1">
        <f t="array" ref="E66:E80">AZ3:AZ17</f>
        <v>4.72</v>
      </c>
    </row>
    <row r="67" spans="1:5" x14ac:dyDescent="0.25">
      <c r="A67" s="68"/>
      <c r="B67" s="7">
        <v>3.49</v>
      </c>
      <c r="C67" s="7">
        <v>3.54</v>
      </c>
      <c r="D67" s="7">
        <v>3.73</v>
      </c>
      <c r="E67" s="7">
        <v>4.26</v>
      </c>
    </row>
    <row r="68" spans="1:5" x14ac:dyDescent="0.25">
      <c r="A68" s="68"/>
      <c r="B68" s="7">
        <v>3.81</v>
      </c>
      <c r="C68" s="7">
        <v>3</v>
      </c>
      <c r="D68" s="7">
        <v>3.73</v>
      </c>
      <c r="E68" s="7">
        <v>3.66</v>
      </c>
    </row>
    <row r="69" spans="1:5" x14ac:dyDescent="0.25">
      <c r="A69" s="68"/>
      <c r="B69" s="7">
        <v>2</v>
      </c>
      <c r="C69" s="7">
        <v>3.8</v>
      </c>
      <c r="D69" s="7">
        <v>3.52</v>
      </c>
      <c r="E69" s="7">
        <v>3.8</v>
      </c>
    </row>
    <row r="70" spans="1:5" x14ac:dyDescent="0.25">
      <c r="A70" s="68"/>
      <c r="B70" s="7">
        <v>4.13</v>
      </c>
      <c r="C70" s="7">
        <v>3.26</v>
      </c>
      <c r="D70" s="7">
        <v>3.69</v>
      </c>
      <c r="E70" s="7">
        <v>3.35</v>
      </c>
    </row>
    <row r="71" spans="1:5" x14ac:dyDescent="0.25">
      <c r="A71" s="68"/>
      <c r="B71" s="7">
        <v>3.9</v>
      </c>
      <c r="C71" s="7">
        <v>3.56</v>
      </c>
      <c r="D71" s="7">
        <v>4.28</v>
      </c>
      <c r="E71" s="7">
        <v>3.66</v>
      </c>
    </row>
    <row r="72" spans="1:5" x14ac:dyDescent="0.25">
      <c r="A72" s="68"/>
      <c r="B72" s="7">
        <v>3.03</v>
      </c>
      <c r="C72" s="7">
        <v>3.59</v>
      </c>
      <c r="D72" s="7">
        <v>4</v>
      </c>
      <c r="E72" s="7">
        <v>4.18</v>
      </c>
    </row>
    <row r="73" spans="1:5" x14ac:dyDescent="0.25">
      <c r="A73" s="68"/>
      <c r="B73" s="7">
        <v>3.1</v>
      </c>
      <c r="C73" s="7">
        <v>3.22</v>
      </c>
      <c r="D73" s="7">
        <v>3.09</v>
      </c>
      <c r="E73" s="7">
        <v>3.9</v>
      </c>
    </row>
    <row r="74" spans="1:5" x14ac:dyDescent="0.25">
      <c r="A74" s="68"/>
      <c r="B74" s="7">
        <v>3.31</v>
      </c>
      <c r="C74" s="7">
        <v>3.66</v>
      </c>
      <c r="D74" s="7">
        <v>3.58</v>
      </c>
      <c r="E74" s="7">
        <v>3.42</v>
      </c>
    </row>
    <row r="75" spans="1:5" x14ac:dyDescent="0.25">
      <c r="A75" s="68"/>
      <c r="B75" s="7">
        <v>3.52</v>
      </c>
      <c r="C75" s="7">
        <v>3.28</v>
      </c>
      <c r="D75" s="7">
        <v>3.81</v>
      </c>
      <c r="E75" s="7">
        <v>4.5999999999999996</v>
      </c>
    </row>
    <row r="76" spans="1:5" x14ac:dyDescent="0.25">
      <c r="A76" s="68"/>
      <c r="B76" s="7">
        <v>3.07</v>
      </c>
      <c r="C76" s="7">
        <v>3.63</v>
      </c>
      <c r="D76" s="7">
        <v>3.23</v>
      </c>
      <c r="E76" s="7">
        <v>3.88</v>
      </c>
    </row>
    <row r="77" spans="1:5" x14ac:dyDescent="0.25">
      <c r="A77" s="68"/>
      <c r="B77" s="7">
        <v>3.77</v>
      </c>
      <c r="C77" s="7">
        <v>3.53</v>
      </c>
      <c r="D77" s="7">
        <v>3.5</v>
      </c>
      <c r="E77" s="7">
        <v>3.9</v>
      </c>
    </row>
    <row r="78" spans="1:5" x14ac:dyDescent="0.25">
      <c r="A78" s="68"/>
      <c r="B78" s="7">
        <v>4.28</v>
      </c>
      <c r="C78" s="7">
        <v>3.44</v>
      </c>
      <c r="D78" s="7">
        <v>3.43</v>
      </c>
      <c r="E78" s="7">
        <v>3.26</v>
      </c>
    </row>
    <row r="79" spans="1:5" x14ac:dyDescent="0.25">
      <c r="A79" s="68"/>
      <c r="B79" s="7">
        <v>3.45</v>
      </c>
      <c r="C79" s="7">
        <v>3.67</v>
      </c>
      <c r="D79" s="7">
        <v>4.1399999999999997</v>
      </c>
      <c r="E79" s="7">
        <v>3.5</v>
      </c>
    </row>
    <row r="80" spans="1:5" x14ac:dyDescent="0.25">
      <c r="A80" s="68"/>
      <c r="B80" s="7">
        <v>3.74</v>
      </c>
      <c r="C80" s="7">
        <v>4.1500000000000004</v>
      </c>
      <c r="D80" s="7">
        <v>3.44</v>
      </c>
      <c r="E80" s="7">
        <v>3.58</v>
      </c>
    </row>
    <row r="81" spans="1:5" x14ac:dyDescent="0.25">
      <c r="A81" s="68" t="s">
        <v>76</v>
      </c>
      <c r="B81" s="7" cm="1">
        <f t="array" ref="B81:B95">E3:E17</f>
        <v>4.3099999999999996</v>
      </c>
      <c r="C81" s="7" cm="1">
        <f t="array" ref="C81:C95">U3:U17</f>
        <v>3.93</v>
      </c>
      <c r="D81" s="7" cm="1">
        <f t="array" ref="D81:D95">AK3:AK17</f>
        <v>4.9000000000000004</v>
      </c>
      <c r="E81" s="7" cm="1">
        <f t="array" ref="E81:E95">BA3:BA17</f>
        <v>3.95</v>
      </c>
    </row>
    <row r="82" spans="1:5" x14ac:dyDescent="0.25">
      <c r="A82" s="68"/>
      <c r="B82" s="7">
        <v>4.6399999999999997</v>
      </c>
      <c r="C82" s="7">
        <v>5</v>
      </c>
      <c r="D82" s="7">
        <v>3.99</v>
      </c>
      <c r="E82" s="7">
        <v>7.63</v>
      </c>
    </row>
    <row r="83" spans="1:5" x14ac:dyDescent="0.25">
      <c r="A83" s="68"/>
      <c r="B83" s="7">
        <v>4.2699999999999996</v>
      </c>
      <c r="C83" s="7">
        <v>5.27</v>
      </c>
      <c r="D83" s="7">
        <v>5.91</v>
      </c>
      <c r="E83" s="7">
        <v>6.06</v>
      </c>
    </row>
    <row r="84" spans="1:5" x14ac:dyDescent="0.25">
      <c r="A84" s="68"/>
      <c r="B84" s="7">
        <v>5.35</v>
      </c>
      <c r="C84" s="7">
        <v>4.79</v>
      </c>
      <c r="D84" s="7">
        <v>4.5</v>
      </c>
      <c r="E84" s="7">
        <v>4.53</v>
      </c>
    </row>
    <row r="85" spans="1:5" x14ac:dyDescent="0.25">
      <c r="A85" s="68"/>
      <c r="B85" s="7">
        <v>5.03</v>
      </c>
      <c r="C85" s="7">
        <v>4.09</v>
      </c>
      <c r="D85" s="7">
        <v>4.5</v>
      </c>
      <c r="E85" s="7">
        <v>3.9</v>
      </c>
    </row>
    <row r="86" spans="1:5" x14ac:dyDescent="0.25">
      <c r="A86" s="68"/>
      <c r="B86" s="7">
        <v>4.91</v>
      </c>
      <c r="C86" s="7">
        <v>4.5</v>
      </c>
      <c r="D86" s="7">
        <v>3.96</v>
      </c>
      <c r="E86" s="7">
        <v>5.19</v>
      </c>
    </row>
    <row r="87" spans="1:5" x14ac:dyDescent="0.25">
      <c r="A87" s="68"/>
      <c r="B87" s="7">
        <v>4.37</v>
      </c>
      <c r="C87" s="7">
        <v>4.01</v>
      </c>
      <c r="D87" s="7">
        <v>4.5</v>
      </c>
      <c r="E87" s="7">
        <v>4.6100000000000003</v>
      </c>
    </row>
    <row r="88" spans="1:5" x14ac:dyDescent="0.25">
      <c r="A88" s="68"/>
      <c r="B88" s="7">
        <v>4.5</v>
      </c>
      <c r="C88" s="7">
        <v>5.43</v>
      </c>
      <c r="D88" s="7">
        <v>5.4</v>
      </c>
      <c r="E88" s="7">
        <v>4.2</v>
      </c>
    </row>
    <row r="89" spans="1:5" x14ac:dyDescent="0.25">
      <c r="A89" s="68"/>
      <c r="B89" s="7">
        <v>4.45</v>
      </c>
      <c r="C89" s="7">
        <v>4.93</v>
      </c>
      <c r="D89" s="7">
        <v>4.41</v>
      </c>
      <c r="E89" s="7">
        <v>5.0599999999999996</v>
      </c>
    </row>
    <row r="90" spans="1:5" x14ac:dyDescent="0.25">
      <c r="A90" s="68"/>
      <c r="B90" s="7">
        <v>4.58</v>
      </c>
      <c r="C90" s="7">
        <v>4.93</v>
      </c>
      <c r="D90" s="7">
        <v>4.88</v>
      </c>
      <c r="E90" s="7">
        <v>5.69</v>
      </c>
    </row>
    <row r="91" spans="1:5" x14ac:dyDescent="0.25">
      <c r="A91" s="68"/>
      <c r="B91" s="7">
        <v>5.34</v>
      </c>
      <c r="C91" s="7">
        <v>5.9</v>
      </c>
      <c r="D91" s="7">
        <v>4.5</v>
      </c>
      <c r="E91" s="7">
        <v>6.33</v>
      </c>
    </row>
    <row r="92" spans="1:5" x14ac:dyDescent="0.25">
      <c r="A92" s="68"/>
      <c r="B92" s="7">
        <v>4.2699999999999996</v>
      </c>
      <c r="C92" s="7">
        <v>5</v>
      </c>
      <c r="D92" s="7">
        <v>4.21</v>
      </c>
      <c r="E92" s="7">
        <v>4.99</v>
      </c>
    </row>
    <row r="93" spans="1:5" x14ac:dyDescent="0.25">
      <c r="A93" s="68"/>
      <c r="B93" s="7">
        <v>5.28</v>
      </c>
      <c r="C93" s="7">
        <v>5.21</v>
      </c>
      <c r="D93" s="7">
        <v>5.61</v>
      </c>
      <c r="E93" s="7">
        <v>4.97</v>
      </c>
    </row>
    <row r="94" spans="1:5" x14ac:dyDescent="0.25">
      <c r="A94" s="68"/>
      <c r="B94" s="7">
        <v>4.74</v>
      </c>
      <c r="C94" s="7">
        <v>5.28</v>
      </c>
      <c r="D94" s="7">
        <v>5.25</v>
      </c>
      <c r="E94" s="7">
        <v>4.8</v>
      </c>
    </row>
    <row r="95" spans="1:5" x14ac:dyDescent="0.25">
      <c r="A95" s="68"/>
      <c r="B95" s="7">
        <v>5.37</v>
      </c>
      <c r="C95" s="7">
        <v>4.49</v>
      </c>
      <c r="D95" s="7">
        <v>5.1100000000000003</v>
      </c>
      <c r="E95" s="7">
        <v>4.51</v>
      </c>
    </row>
    <row r="96" spans="1:5" x14ac:dyDescent="0.25">
      <c r="A96" s="68" t="s">
        <v>77</v>
      </c>
      <c r="B96" s="7" cm="1">
        <f t="array" ref="B96:B110">F3:F17</f>
        <v>4.45</v>
      </c>
      <c r="C96" s="7" cm="1">
        <f t="array" ref="C96:C110">V3:V17</f>
        <v>5.0599999999999996</v>
      </c>
      <c r="D96" s="7" cm="1">
        <f t="array" ref="D96:D110">AL3:AL17</f>
        <v>4.12</v>
      </c>
      <c r="E96" s="7" cm="1">
        <f t="array" ref="E96:E110">BB3:BB17</f>
        <v>4.66</v>
      </c>
    </row>
    <row r="97" spans="1:5" x14ac:dyDescent="0.25">
      <c r="A97" s="68"/>
      <c r="B97" s="7">
        <v>5.34</v>
      </c>
      <c r="C97" s="7">
        <v>5.78</v>
      </c>
      <c r="D97" s="7">
        <v>5.75</v>
      </c>
      <c r="E97" s="7">
        <v>4.47</v>
      </c>
    </row>
    <row r="98" spans="1:5" x14ac:dyDescent="0.25">
      <c r="A98" s="68"/>
      <c r="B98" s="7">
        <v>4.7699999999999996</v>
      </c>
      <c r="C98" s="7">
        <v>3.96</v>
      </c>
      <c r="D98" s="7">
        <v>3.93</v>
      </c>
      <c r="E98" s="7">
        <v>3.08</v>
      </c>
    </row>
    <row r="99" spans="1:5" x14ac:dyDescent="0.25">
      <c r="A99" s="68"/>
      <c r="B99" s="7">
        <v>5.03</v>
      </c>
      <c r="C99" s="7">
        <v>4.3099999999999996</v>
      </c>
      <c r="D99" s="7">
        <v>5.4</v>
      </c>
      <c r="E99" s="7">
        <v>5</v>
      </c>
    </row>
    <row r="100" spans="1:5" x14ac:dyDescent="0.25">
      <c r="A100" s="68"/>
      <c r="B100" s="7">
        <v>5.04</v>
      </c>
      <c r="C100" s="7">
        <v>4.97</v>
      </c>
      <c r="D100" s="7">
        <v>4.62</v>
      </c>
      <c r="E100" s="7">
        <v>4.71</v>
      </c>
    </row>
    <row r="101" spans="1:5" x14ac:dyDescent="0.25">
      <c r="A101" s="68"/>
      <c r="B101" s="7">
        <v>4.58</v>
      </c>
      <c r="C101" s="7">
        <v>4.87</v>
      </c>
      <c r="D101" s="7">
        <v>3.73</v>
      </c>
      <c r="E101" s="7">
        <v>5</v>
      </c>
    </row>
    <row r="102" spans="1:5" x14ac:dyDescent="0.25">
      <c r="A102" s="68"/>
      <c r="B102" s="7">
        <v>4.66</v>
      </c>
      <c r="C102" s="7">
        <v>4.37</v>
      </c>
      <c r="D102" s="7">
        <v>3.85</v>
      </c>
      <c r="E102" s="7">
        <v>4.92</v>
      </c>
    </row>
    <row r="103" spans="1:5" x14ac:dyDescent="0.25">
      <c r="A103" s="68"/>
      <c r="B103" s="7">
        <v>6.31</v>
      </c>
      <c r="C103" s="7">
        <v>5.97</v>
      </c>
      <c r="D103" s="7">
        <v>4.9800000000000004</v>
      </c>
      <c r="E103" s="7">
        <v>4.83</v>
      </c>
    </row>
    <row r="104" spans="1:5" x14ac:dyDescent="0.25">
      <c r="A104" s="68"/>
      <c r="B104" s="7">
        <v>4.24</v>
      </c>
      <c r="C104" s="7">
        <v>3.57</v>
      </c>
      <c r="D104" s="7">
        <v>4.03</v>
      </c>
      <c r="E104" s="7">
        <v>6.12</v>
      </c>
    </row>
    <row r="105" spans="1:5" x14ac:dyDescent="0.25">
      <c r="A105" s="68"/>
      <c r="B105" s="7">
        <v>4.79</v>
      </c>
      <c r="C105" s="7">
        <v>5</v>
      </c>
      <c r="D105" s="7">
        <v>5</v>
      </c>
      <c r="E105" s="7">
        <v>4.24</v>
      </c>
    </row>
    <row r="106" spans="1:5" x14ac:dyDescent="0.25">
      <c r="A106" s="68"/>
      <c r="B106" s="7">
        <v>5</v>
      </c>
      <c r="C106" s="7">
        <v>5.83</v>
      </c>
      <c r="D106" s="7">
        <v>4.76</v>
      </c>
      <c r="E106" s="7">
        <v>5</v>
      </c>
    </row>
    <row r="107" spans="1:5" x14ac:dyDescent="0.25">
      <c r="A107" s="68"/>
      <c r="B107" s="7">
        <v>5.08</v>
      </c>
      <c r="C107" s="7">
        <v>4.34</v>
      </c>
      <c r="D107" s="7">
        <v>5.6</v>
      </c>
      <c r="E107" s="7">
        <v>4.78</v>
      </c>
    </row>
    <row r="108" spans="1:5" x14ac:dyDescent="0.25">
      <c r="A108" s="68"/>
      <c r="B108" s="7">
        <v>4.6100000000000003</v>
      </c>
      <c r="C108" s="7">
        <v>5.46</v>
      </c>
      <c r="D108" s="7">
        <v>4.45</v>
      </c>
      <c r="E108" s="7">
        <v>6.18</v>
      </c>
    </row>
    <row r="109" spans="1:5" x14ac:dyDescent="0.25">
      <c r="A109" s="68"/>
      <c r="B109" s="7">
        <v>5.49</v>
      </c>
      <c r="C109" s="7">
        <v>3.61</v>
      </c>
      <c r="D109" s="7">
        <v>5.34</v>
      </c>
      <c r="E109" s="7">
        <v>4.5599999999999996</v>
      </c>
    </row>
    <row r="110" spans="1:5" x14ac:dyDescent="0.25">
      <c r="A110" s="68"/>
      <c r="B110" s="7">
        <v>4.84</v>
      </c>
      <c r="C110" s="7">
        <v>6.24</v>
      </c>
      <c r="D110" s="7">
        <v>4.84</v>
      </c>
      <c r="E110" s="7">
        <v>4.79</v>
      </c>
    </row>
    <row r="111" spans="1:5" x14ac:dyDescent="0.25">
      <c r="A111" s="68" t="s">
        <v>78</v>
      </c>
      <c r="B111" s="7" cm="1">
        <f t="array" ref="B111:B125">G3:G17</f>
        <v>4.67</v>
      </c>
      <c r="C111" s="7" cm="1">
        <f t="array" ref="C111:C125">W3:W17</f>
        <v>5.15</v>
      </c>
      <c r="D111" s="7" cm="1">
        <f t="array" ref="D111:D125">AM3:AM17</f>
        <v>4.41</v>
      </c>
      <c r="E111" s="7" cm="1">
        <f t="array" ref="E111:E125">BC3:BC17</f>
        <v>5.1100000000000003</v>
      </c>
    </row>
    <row r="112" spans="1:5" x14ac:dyDescent="0.25">
      <c r="A112" s="68"/>
      <c r="B112" s="7">
        <v>3.81</v>
      </c>
      <c r="C112" s="7">
        <v>5.53</v>
      </c>
      <c r="D112" s="7">
        <v>4.4800000000000004</v>
      </c>
      <c r="E112" s="7">
        <v>4.9400000000000004</v>
      </c>
    </row>
    <row r="113" spans="1:5" x14ac:dyDescent="0.25">
      <c r="A113" s="68"/>
      <c r="B113" s="7">
        <v>5.6</v>
      </c>
      <c r="C113" s="7">
        <v>5.43</v>
      </c>
      <c r="D113" s="7">
        <v>4.6399999999999997</v>
      </c>
      <c r="E113" s="7">
        <v>4.99</v>
      </c>
    </row>
    <row r="114" spans="1:5" x14ac:dyDescent="0.25">
      <c r="A114" s="68"/>
      <c r="B114" s="7">
        <v>4.55</v>
      </c>
      <c r="C114" s="7">
        <v>5.0599999999999996</v>
      </c>
      <c r="D114" s="7">
        <v>4.9000000000000004</v>
      </c>
      <c r="E114" s="7">
        <v>4.66</v>
      </c>
    </row>
    <row r="115" spans="1:5" x14ac:dyDescent="0.25">
      <c r="A115" s="68"/>
      <c r="B115" s="7">
        <v>5.31</v>
      </c>
      <c r="C115" s="7">
        <v>5.0199999999999996</v>
      </c>
      <c r="D115" s="7">
        <v>4.3899999999999997</v>
      </c>
      <c r="E115" s="7">
        <v>5.46</v>
      </c>
    </row>
    <row r="116" spans="1:5" x14ac:dyDescent="0.25">
      <c r="A116" s="68"/>
      <c r="B116" s="7">
        <v>4.0599999999999996</v>
      </c>
      <c r="C116" s="7">
        <v>3.73</v>
      </c>
      <c r="D116" s="7">
        <v>5.4</v>
      </c>
      <c r="E116" s="7">
        <v>4.84</v>
      </c>
    </row>
    <row r="117" spans="1:5" x14ac:dyDescent="0.25">
      <c r="A117" s="68"/>
      <c r="B117" s="7">
        <v>5</v>
      </c>
      <c r="C117" s="7">
        <v>4.5</v>
      </c>
      <c r="D117" s="7">
        <v>4.0599999999999996</v>
      </c>
      <c r="E117" s="7">
        <v>4.8</v>
      </c>
    </row>
    <row r="118" spans="1:5" x14ac:dyDescent="0.25">
      <c r="A118" s="68"/>
      <c r="B118" s="7">
        <v>4.0999999999999996</v>
      </c>
      <c r="C118" s="7">
        <v>3.97</v>
      </c>
      <c r="D118" s="7">
        <v>5.12</v>
      </c>
      <c r="E118" s="7">
        <v>5.15</v>
      </c>
    </row>
    <row r="119" spans="1:5" x14ac:dyDescent="0.25">
      <c r="A119" s="68"/>
      <c r="B119" s="7">
        <v>4.6399999999999997</v>
      </c>
      <c r="C119" s="7">
        <v>4.3</v>
      </c>
      <c r="D119" s="7">
        <v>5.36</v>
      </c>
      <c r="E119" s="7">
        <v>5.71</v>
      </c>
    </row>
    <row r="120" spans="1:5" x14ac:dyDescent="0.25">
      <c r="A120" s="68"/>
      <c r="B120" s="7">
        <v>5.66</v>
      </c>
      <c r="C120" s="7">
        <v>5.23</v>
      </c>
      <c r="D120" s="7">
        <v>5.09</v>
      </c>
      <c r="E120" s="7">
        <v>4.1500000000000004</v>
      </c>
    </row>
    <row r="121" spans="1:5" x14ac:dyDescent="0.25">
      <c r="A121" s="68"/>
      <c r="B121" s="7">
        <v>4.7699999999999996</v>
      </c>
      <c r="C121" s="7">
        <v>6.48</v>
      </c>
      <c r="D121" s="7">
        <v>4.8499999999999996</v>
      </c>
      <c r="E121" s="7">
        <v>5.18</v>
      </c>
    </row>
    <row r="122" spans="1:5" x14ac:dyDescent="0.25">
      <c r="A122" s="68"/>
      <c r="B122" s="7">
        <v>5.29</v>
      </c>
      <c r="C122" s="7">
        <v>4.1100000000000003</v>
      </c>
      <c r="D122" s="7">
        <v>4.93</v>
      </c>
      <c r="E122" s="7">
        <v>5.29</v>
      </c>
    </row>
    <row r="123" spans="1:5" x14ac:dyDescent="0.25">
      <c r="A123" s="68"/>
      <c r="B123" s="7">
        <v>6.29</v>
      </c>
      <c r="C123" s="7">
        <v>4.67</v>
      </c>
      <c r="D123" s="7">
        <v>5</v>
      </c>
      <c r="E123" s="7">
        <v>4.93</v>
      </c>
    </row>
    <row r="124" spans="1:5" x14ac:dyDescent="0.25">
      <c r="A124" s="68"/>
      <c r="B124" s="7">
        <v>4.24</v>
      </c>
      <c r="C124" s="7">
        <v>4.13</v>
      </c>
      <c r="D124" s="7">
        <v>4.91</v>
      </c>
      <c r="E124" s="7">
        <v>4.8499999999999996</v>
      </c>
    </row>
    <row r="125" spans="1:5" x14ac:dyDescent="0.25">
      <c r="A125" s="68"/>
      <c r="B125" s="7">
        <v>5.05</v>
      </c>
      <c r="C125" s="7">
        <v>5.0199999999999996</v>
      </c>
      <c r="D125" s="7">
        <v>5.35</v>
      </c>
      <c r="E125" s="7">
        <v>5.03</v>
      </c>
    </row>
    <row r="126" spans="1:5" x14ac:dyDescent="0.25">
      <c r="A126" s="68" t="s">
        <v>79</v>
      </c>
      <c r="B126" s="7" cm="1">
        <f t="array" ref="B126:B140">H3:H17</f>
        <v>3.82</v>
      </c>
      <c r="C126" s="7" cm="1">
        <f t="array" ref="C126:C140">X3:X17</f>
        <v>4.83</v>
      </c>
      <c r="D126" s="7" cm="1">
        <f t="array" ref="D126:D140">AN3:AN17</f>
        <v>4.9400000000000004</v>
      </c>
      <c r="E126" s="7" cm="1">
        <f t="array" ref="E126:E140">BD3:BD17</f>
        <v>6.17</v>
      </c>
    </row>
    <row r="127" spans="1:5" x14ac:dyDescent="0.25">
      <c r="A127" s="68"/>
      <c r="B127" s="7">
        <v>5.01</v>
      </c>
      <c r="C127" s="7">
        <v>4.3499999999999996</v>
      </c>
      <c r="D127" s="7">
        <v>4.0999999999999996</v>
      </c>
      <c r="E127" s="7">
        <v>4.18</v>
      </c>
    </row>
    <row r="128" spans="1:5" x14ac:dyDescent="0.25">
      <c r="A128" s="68"/>
      <c r="B128" s="7">
        <v>4.34</v>
      </c>
      <c r="C128" s="7">
        <v>5.95</v>
      </c>
      <c r="D128" s="7">
        <v>5.59</v>
      </c>
      <c r="E128" s="7">
        <v>4.78</v>
      </c>
    </row>
    <row r="129" spans="1:5" x14ac:dyDescent="0.25">
      <c r="A129" s="68"/>
      <c r="B129" s="7">
        <v>3.7</v>
      </c>
      <c r="C129" s="7">
        <v>5.83</v>
      </c>
      <c r="D129" s="7">
        <v>5.25</v>
      </c>
      <c r="E129" s="7">
        <v>4.22</v>
      </c>
    </row>
    <row r="130" spans="1:5" x14ac:dyDescent="0.25">
      <c r="A130" s="68"/>
      <c r="B130" s="7">
        <v>4.46</v>
      </c>
      <c r="C130" s="7">
        <v>4.72</v>
      </c>
      <c r="D130" s="7">
        <v>4.42</v>
      </c>
      <c r="E130" s="7">
        <v>4.84</v>
      </c>
    </row>
    <row r="131" spans="1:5" x14ac:dyDescent="0.25">
      <c r="A131" s="68"/>
      <c r="B131" s="7">
        <v>4.13</v>
      </c>
      <c r="C131" s="7">
        <v>5.0999999999999996</v>
      </c>
      <c r="D131" s="7">
        <v>5.26</v>
      </c>
      <c r="E131" s="7">
        <v>5.3</v>
      </c>
    </row>
    <row r="132" spans="1:5" x14ac:dyDescent="0.25">
      <c r="A132" s="68"/>
      <c r="B132" s="7">
        <v>3.45</v>
      </c>
      <c r="C132" s="7">
        <v>5.47</v>
      </c>
      <c r="D132" s="7">
        <v>2.86</v>
      </c>
      <c r="E132" s="7">
        <v>3.59</v>
      </c>
    </row>
    <row r="133" spans="1:5" x14ac:dyDescent="0.25">
      <c r="A133" s="68"/>
      <c r="B133" s="7">
        <v>3.77</v>
      </c>
      <c r="C133" s="7">
        <v>4.63</v>
      </c>
      <c r="D133" s="7">
        <v>5.13</v>
      </c>
      <c r="E133" s="7">
        <v>5.27</v>
      </c>
    </row>
    <row r="134" spans="1:5" x14ac:dyDescent="0.25">
      <c r="A134" s="68"/>
      <c r="B134" s="7">
        <v>4.66</v>
      </c>
      <c r="C134" s="7">
        <v>4.0999999999999996</v>
      </c>
      <c r="D134" s="7">
        <v>3.81</v>
      </c>
      <c r="E134" s="7">
        <v>4.1399999999999997</v>
      </c>
    </row>
    <row r="135" spans="1:5" x14ac:dyDescent="0.25">
      <c r="A135" s="68"/>
      <c r="B135" s="7">
        <v>5.31</v>
      </c>
      <c r="C135" s="7">
        <v>4.33</v>
      </c>
      <c r="D135" s="7">
        <v>4.24</v>
      </c>
      <c r="E135" s="7">
        <v>4.87</v>
      </c>
    </row>
    <row r="136" spans="1:5" x14ac:dyDescent="0.25">
      <c r="A136" s="68"/>
      <c r="B136" s="7">
        <v>5.0999999999999996</v>
      </c>
      <c r="C136" s="7">
        <v>6.5</v>
      </c>
      <c r="D136" s="7">
        <v>4.57</v>
      </c>
      <c r="E136" s="7">
        <v>5.35</v>
      </c>
    </row>
    <row r="137" spans="1:5" x14ac:dyDescent="0.25">
      <c r="A137" s="68"/>
      <c r="B137" s="7">
        <v>4.08</v>
      </c>
      <c r="C137" s="7">
        <v>3.47</v>
      </c>
      <c r="D137" s="7">
        <v>5.31</v>
      </c>
      <c r="E137" s="7">
        <v>4.9000000000000004</v>
      </c>
    </row>
    <row r="138" spans="1:5" x14ac:dyDescent="0.25">
      <c r="A138" s="68"/>
      <c r="B138" s="7">
        <v>5.82</v>
      </c>
      <c r="C138" s="7">
        <v>4.8499999999999996</v>
      </c>
      <c r="D138" s="7">
        <v>5.71</v>
      </c>
      <c r="E138" s="7">
        <v>5.41</v>
      </c>
    </row>
    <row r="139" spans="1:5" x14ac:dyDescent="0.25">
      <c r="A139" s="68"/>
      <c r="B139" s="7">
        <v>4.47</v>
      </c>
      <c r="C139" s="7">
        <v>5.35</v>
      </c>
      <c r="D139" s="7">
        <v>5.68</v>
      </c>
      <c r="E139" s="7">
        <v>5</v>
      </c>
    </row>
    <row r="140" spans="1:5" x14ac:dyDescent="0.25">
      <c r="A140" s="68"/>
      <c r="B140" s="7">
        <v>4.92</v>
      </c>
      <c r="C140" s="7">
        <v>4.13</v>
      </c>
      <c r="D140" s="7">
        <v>5.57</v>
      </c>
      <c r="E140" s="7">
        <v>4.84</v>
      </c>
    </row>
    <row r="141" spans="1:5" x14ac:dyDescent="0.25">
      <c r="A141" s="68" t="s">
        <v>80</v>
      </c>
      <c r="B141" s="7" cm="1">
        <f t="array" ref="B141:B155">I3:I17</f>
        <v>3.1</v>
      </c>
      <c r="C141" s="7" cm="1">
        <f t="array" ref="C141:C155">Y3:Y17</f>
        <v>3.93</v>
      </c>
      <c r="D141" s="7" cm="1">
        <f t="array" ref="D141:D155">AO3:AO17</f>
        <v>3.49</v>
      </c>
      <c r="E141" s="7" cm="1">
        <f t="array" ref="E141:E155">BE3:BE17</f>
        <v>3.01</v>
      </c>
    </row>
    <row r="142" spans="1:5" x14ac:dyDescent="0.25">
      <c r="A142" s="68"/>
      <c r="B142" s="7">
        <v>3.57</v>
      </c>
      <c r="C142" s="7">
        <v>3.39</v>
      </c>
      <c r="D142" s="7">
        <v>3.69</v>
      </c>
      <c r="E142" s="7">
        <v>4.0999999999999996</v>
      </c>
    </row>
    <row r="143" spans="1:5" x14ac:dyDescent="0.25">
      <c r="A143" s="68"/>
      <c r="B143" s="7">
        <v>3.36</v>
      </c>
      <c r="C143" s="7">
        <v>2.78</v>
      </c>
      <c r="D143" s="7">
        <v>3.96</v>
      </c>
      <c r="E143" s="7">
        <v>3.96</v>
      </c>
    </row>
    <row r="144" spans="1:5" x14ac:dyDescent="0.25">
      <c r="A144" s="68"/>
      <c r="B144" s="7">
        <v>3.48</v>
      </c>
      <c r="C144" s="7">
        <v>3.73</v>
      </c>
      <c r="D144" s="7">
        <v>3.8</v>
      </c>
      <c r="E144" s="7">
        <v>2.91</v>
      </c>
    </row>
    <row r="145" spans="1:5" x14ac:dyDescent="0.25">
      <c r="A145" s="68"/>
      <c r="B145" s="7">
        <v>3.53</v>
      </c>
      <c r="C145" s="7">
        <v>2.95</v>
      </c>
      <c r="D145" s="7">
        <v>3.22</v>
      </c>
      <c r="E145" s="7">
        <v>3.4</v>
      </c>
    </row>
    <row r="146" spans="1:5" x14ac:dyDescent="0.25">
      <c r="A146" s="68"/>
      <c r="B146" s="7">
        <v>3.13</v>
      </c>
      <c r="C146" s="7">
        <v>2.9</v>
      </c>
      <c r="D146" s="7">
        <v>3.08</v>
      </c>
      <c r="E146" s="7">
        <v>4.0199999999999996</v>
      </c>
    </row>
    <row r="147" spans="1:5" x14ac:dyDescent="0.25">
      <c r="A147" s="68"/>
      <c r="B147" s="7">
        <v>3.03</v>
      </c>
      <c r="C147" s="7">
        <v>4.5</v>
      </c>
      <c r="D147" s="7">
        <v>3.68</v>
      </c>
      <c r="E147" s="7">
        <v>4.0999999999999996</v>
      </c>
    </row>
    <row r="148" spans="1:5" x14ac:dyDescent="0.25">
      <c r="A148" s="68"/>
      <c r="B148" s="7">
        <v>3.2</v>
      </c>
      <c r="C148" s="7">
        <v>3.24</v>
      </c>
      <c r="D148" s="7">
        <v>3.53</v>
      </c>
      <c r="E148" s="7">
        <v>3.14</v>
      </c>
    </row>
    <row r="149" spans="1:5" x14ac:dyDescent="0.25">
      <c r="A149" s="68"/>
      <c r="B149" s="7">
        <v>3.29</v>
      </c>
      <c r="C149" s="7">
        <v>3.66</v>
      </c>
      <c r="D149" s="7">
        <v>3</v>
      </c>
      <c r="E149" s="7">
        <v>3.9</v>
      </c>
    </row>
    <row r="150" spans="1:5" x14ac:dyDescent="0.25">
      <c r="A150" s="68"/>
      <c r="B150" s="7">
        <v>3.52</v>
      </c>
      <c r="C150" s="7">
        <v>3.38</v>
      </c>
      <c r="D150" s="7">
        <v>3.35</v>
      </c>
      <c r="E150" s="7">
        <v>4.18</v>
      </c>
    </row>
    <row r="151" spans="1:5" x14ac:dyDescent="0.25">
      <c r="A151" s="68"/>
      <c r="B151" s="7">
        <v>3.43</v>
      </c>
      <c r="C151" s="7">
        <v>3.98</v>
      </c>
      <c r="D151" s="7">
        <v>3.61</v>
      </c>
      <c r="E151" s="7">
        <v>4.08</v>
      </c>
    </row>
    <row r="152" spans="1:5" x14ac:dyDescent="0.25">
      <c r="A152" s="68"/>
      <c r="B152" s="7">
        <v>2.97</v>
      </c>
      <c r="C152" s="7">
        <v>3.35</v>
      </c>
      <c r="D152" s="7">
        <v>3.26</v>
      </c>
      <c r="E152" s="7">
        <v>4.07</v>
      </c>
    </row>
    <row r="153" spans="1:5" x14ac:dyDescent="0.25">
      <c r="A153" s="68"/>
      <c r="B153" s="7">
        <v>3.38</v>
      </c>
      <c r="C153" s="7">
        <v>3.54</v>
      </c>
      <c r="D153" s="7">
        <v>4.05</v>
      </c>
      <c r="E153" s="7">
        <v>4.0199999999999996</v>
      </c>
    </row>
    <row r="154" spans="1:5" x14ac:dyDescent="0.25">
      <c r="A154" s="68"/>
      <c r="B154" s="7">
        <v>3.34</v>
      </c>
      <c r="C154" s="7">
        <v>3.44</v>
      </c>
      <c r="D154" s="7">
        <v>3.48</v>
      </c>
      <c r="E154" s="7">
        <v>3.6</v>
      </c>
    </row>
    <row r="155" spans="1:5" x14ac:dyDescent="0.25">
      <c r="A155" s="68"/>
      <c r="B155" s="7">
        <v>3.9</v>
      </c>
      <c r="C155" s="7">
        <v>3.47</v>
      </c>
      <c r="D155" s="7">
        <v>3.62</v>
      </c>
      <c r="E155" s="7">
        <v>3.58</v>
      </c>
    </row>
    <row r="156" spans="1:5" x14ac:dyDescent="0.25">
      <c r="A156" s="68" t="s">
        <v>81</v>
      </c>
      <c r="B156" s="7" cm="1">
        <f t="array" ref="B156:B170">J3:J17</f>
        <v>3.75</v>
      </c>
      <c r="C156" s="7" cm="1">
        <f t="array" ref="C156:C170">Z3:Z17</f>
        <v>3.28</v>
      </c>
      <c r="D156" s="7" cm="1">
        <f t="array" ref="D156:D170">AP3:AP17</f>
        <v>3.62</v>
      </c>
      <c r="E156" s="7" cm="1">
        <f t="array" ref="E156:E170">BF3:BF17</f>
        <v>3.51</v>
      </c>
    </row>
    <row r="157" spans="1:5" x14ac:dyDescent="0.25">
      <c r="A157" s="68"/>
      <c r="B157" s="7">
        <v>3.76</v>
      </c>
      <c r="C157" s="7">
        <v>3.36</v>
      </c>
      <c r="D157" s="7">
        <v>3.98</v>
      </c>
      <c r="E157" s="7">
        <v>4.0599999999999996</v>
      </c>
    </row>
    <row r="158" spans="1:5" x14ac:dyDescent="0.25">
      <c r="A158" s="68"/>
      <c r="B158" s="7">
        <v>3.22</v>
      </c>
      <c r="C158" s="7">
        <v>3.61</v>
      </c>
      <c r="D158" s="7">
        <v>4.24</v>
      </c>
      <c r="E158" s="7">
        <v>3.4</v>
      </c>
    </row>
    <row r="159" spans="1:5" x14ac:dyDescent="0.25">
      <c r="A159" s="68"/>
      <c r="B159" s="7">
        <v>3.31</v>
      </c>
      <c r="C159" s="7">
        <v>3.21</v>
      </c>
      <c r="D159" s="7">
        <v>3.74</v>
      </c>
      <c r="E159" s="7">
        <v>3.44</v>
      </c>
    </row>
    <row r="160" spans="1:5" x14ac:dyDescent="0.25">
      <c r="A160" s="68"/>
      <c r="B160" s="7">
        <v>3.58</v>
      </c>
      <c r="C160" s="7">
        <v>3.28</v>
      </c>
      <c r="D160" s="7">
        <v>3.56</v>
      </c>
      <c r="E160" s="7">
        <v>3.98</v>
      </c>
    </row>
    <row r="161" spans="1:5" x14ac:dyDescent="0.25">
      <c r="A161" s="68"/>
      <c r="B161" s="7">
        <v>3.66</v>
      </c>
      <c r="C161" s="7">
        <v>3.1</v>
      </c>
      <c r="D161" s="7">
        <v>4.3099999999999996</v>
      </c>
      <c r="E161" s="7">
        <v>3.9</v>
      </c>
    </row>
    <row r="162" spans="1:5" x14ac:dyDescent="0.25">
      <c r="A162" s="68"/>
      <c r="B162" s="7">
        <v>3.48</v>
      </c>
      <c r="C162" s="7">
        <v>3.93</v>
      </c>
      <c r="D162" s="7">
        <v>3.67</v>
      </c>
      <c r="E162" s="7">
        <v>3.64</v>
      </c>
    </row>
    <row r="163" spans="1:5" x14ac:dyDescent="0.25">
      <c r="A163" s="68"/>
      <c r="B163" s="7">
        <v>3.09</v>
      </c>
      <c r="C163" s="7">
        <v>3.23</v>
      </c>
      <c r="D163" s="7">
        <v>3.51</v>
      </c>
      <c r="E163" s="7">
        <v>3.9</v>
      </c>
    </row>
    <row r="164" spans="1:5" x14ac:dyDescent="0.25">
      <c r="A164" s="68"/>
      <c r="B164" s="7">
        <v>3.39</v>
      </c>
      <c r="C164" s="7">
        <v>3.71</v>
      </c>
      <c r="D164" s="7">
        <v>3.43</v>
      </c>
      <c r="E164" s="7">
        <v>3.55</v>
      </c>
    </row>
    <row r="165" spans="1:5" x14ac:dyDescent="0.25">
      <c r="A165" s="68"/>
      <c r="B165" s="7">
        <v>3</v>
      </c>
      <c r="C165" s="7">
        <v>3.9</v>
      </c>
      <c r="D165" s="7">
        <v>3.55</v>
      </c>
      <c r="E165" s="7">
        <v>3.5</v>
      </c>
    </row>
    <row r="166" spans="1:5" x14ac:dyDescent="0.25">
      <c r="A166" s="68"/>
      <c r="B166" s="7">
        <v>3</v>
      </c>
      <c r="C166" s="7">
        <v>3.05</v>
      </c>
      <c r="D166" s="7">
        <v>3.45</v>
      </c>
      <c r="E166" s="7">
        <v>3.13</v>
      </c>
    </row>
    <row r="167" spans="1:5" x14ac:dyDescent="0.25">
      <c r="A167" s="68"/>
      <c r="B167" s="7">
        <v>3.49</v>
      </c>
      <c r="C167" s="7">
        <v>3.69</v>
      </c>
      <c r="D167" s="7">
        <v>3.18</v>
      </c>
      <c r="E167" s="7">
        <v>3.63</v>
      </c>
    </row>
    <row r="168" spans="1:5" x14ac:dyDescent="0.25">
      <c r="A168" s="68"/>
      <c r="B168" s="7">
        <v>3.67</v>
      </c>
      <c r="C168" s="7">
        <v>3.38</v>
      </c>
      <c r="D168" s="7">
        <v>3.96</v>
      </c>
      <c r="E168" s="7">
        <v>3.57</v>
      </c>
    </row>
    <row r="169" spans="1:5" x14ac:dyDescent="0.25">
      <c r="A169" s="68"/>
      <c r="B169" s="7">
        <v>3.6</v>
      </c>
      <c r="C169" s="7">
        <v>3.54</v>
      </c>
      <c r="D169" s="7">
        <v>5.08</v>
      </c>
      <c r="E169" s="7">
        <v>3.62</v>
      </c>
    </row>
    <row r="170" spans="1:5" x14ac:dyDescent="0.25">
      <c r="A170" s="68"/>
      <c r="B170" s="7">
        <v>3.25</v>
      </c>
      <c r="C170" s="7">
        <v>4.0599999999999996</v>
      </c>
      <c r="D170" s="7">
        <v>4.08</v>
      </c>
      <c r="E170" s="7">
        <v>3.62</v>
      </c>
    </row>
    <row r="171" spans="1:5" x14ac:dyDescent="0.25">
      <c r="A171" s="68" t="s">
        <v>82</v>
      </c>
      <c r="B171" s="7" cm="1">
        <f t="array" ref="B171:B185">K3:K17</f>
        <v>3.21</v>
      </c>
      <c r="C171" s="7" cm="1">
        <f t="array" ref="C171:C185">AA3:AA17</f>
        <v>3.97</v>
      </c>
      <c r="D171" s="7" cm="1">
        <f t="array" ref="D171:D185">AQ3:AQ17</f>
        <v>3.35</v>
      </c>
      <c r="E171" s="7" cm="1">
        <f t="array" ref="E171:E185">BG3:BG17</f>
        <v>3.38</v>
      </c>
    </row>
    <row r="172" spans="1:5" x14ac:dyDescent="0.25">
      <c r="A172" s="68"/>
      <c r="B172" s="7">
        <v>3.74</v>
      </c>
      <c r="C172" s="7">
        <v>3.65</v>
      </c>
      <c r="D172" s="7">
        <v>4.03</v>
      </c>
      <c r="E172" s="7">
        <v>4.42</v>
      </c>
    </row>
    <row r="173" spans="1:5" x14ac:dyDescent="0.25">
      <c r="A173" s="68"/>
      <c r="B173" s="7">
        <v>4.0199999999999996</v>
      </c>
      <c r="C173" s="7">
        <v>3.67</v>
      </c>
      <c r="D173" s="7">
        <v>4.0999999999999996</v>
      </c>
      <c r="E173" s="7">
        <v>3.23</v>
      </c>
    </row>
    <row r="174" spans="1:5" x14ac:dyDescent="0.25">
      <c r="A174" s="68"/>
      <c r="B174" s="7">
        <v>3.78</v>
      </c>
      <c r="C174" s="7">
        <v>3.61</v>
      </c>
      <c r="D174" s="7">
        <v>3.04</v>
      </c>
      <c r="E174" s="7">
        <v>3.09</v>
      </c>
    </row>
    <row r="175" spans="1:5" x14ac:dyDescent="0.25">
      <c r="A175" s="68"/>
      <c r="B175" s="7">
        <v>4.04</v>
      </c>
      <c r="C175" s="7">
        <v>3.99</v>
      </c>
      <c r="D175" s="7">
        <v>3.9</v>
      </c>
      <c r="E175" s="7">
        <v>2.91</v>
      </c>
    </row>
    <row r="176" spans="1:5" x14ac:dyDescent="0.25">
      <c r="A176" s="68"/>
      <c r="B176" s="7">
        <v>3.08</v>
      </c>
      <c r="C176" s="7">
        <v>3.3</v>
      </c>
      <c r="D176" s="7">
        <v>4.37</v>
      </c>
      <c r="E176" s="7">
        <v>3.4</v>
      </c>
    </row>
    <row r="177" spans="1:5" x14ac:dyDescent="0.25">
      <c r="A177" s="68"/>
      <c r="B177" s="7">
        <v>3.97</v>
      </c>
      <c r="C177" s="7">
        <v>3.48</v>
      </c>
      <c r="D177" s="7">
        <v>4</v>
      </c>
      <c r="E177" s="7">
        <v>4.5</v>
      </c>
    </row>
    <row r="178" spans="1:5" x14ac:dyDescent="0.25">
      <c r="A178" s="68"/>
      <c r="B178" s="7">
        <v>3.48</v>
      </c>
      <c r="C178" s="7">
        <v>3.44</v>
      </c>
      <c r="D178" s="7">
        <v>3.5</v>
      </c>
      <c r="E178" s="7">
        <v>3.49</v>
      </c>
    </row>
    <row r="179" spans="1:5" x14ac:dyDescent="0.25">
      <c r="A179" s="68"/>
      <c r="B179" s="7">
        <v>3.9</v>
      </c>
      <c r="C179" s="7">
        <v>3.61</v>
      </c>
      <c r="D179" s="7">
        <v>3.61</v>
      </c>
      <c r="E179" s="7">
        <v>3.97</v>
      </c>
    </row>
    <row r="180" spans="1:5" x14ac:dyDescent="0.25">
      <c r="A180" s="68"/>
      <c r="B180" s="7">
        <v>3.39</v>
      </c>
      <c r="C180" s="7">
        <v>3.7</v>
      </c>
      <c r="D180" s="7">
        <v>3.7</v>
      </c>
      <c r="E180" s="7">
        <v>3.83</v>
      </c>
    </row>
    <row r="181" spans="1:5" x14ac:dyDescent="0.25">
      <c r="A181" s="68"/>
      <c r="B181" s="7">
        <v>3.71</v>
      </c>
      <c r="C181" s="7">
        <v>3</v>
      </c>
      <c r="D181" s="7">
        <v>3.8</v>
      </c>
      <c r="E181" s="7">
        <v>4</v>
      </c>
    </row>
    <row r="182" spans="1:5" x14ac:dyDescent="0.25">
      <c r="A182" s="68"/>
      <c r="B182" s="7">
        <v>3.9</v>
      </c>
      <c r="C182" s="7">
        <v>3</v>
      </c>
      <c r="D182" s="7">
        <v>3.72</v>
      </c>
      <c r="E182" s="7">
        <v>3.71</v>
      </c>
    </row>
    <row r="183" spans="1:5" x14ac:dyDescent="0.25">
      <c r="A183" s="68"/>
      <c r="B183" s="7">
        <v>3.73</v>
      </c>
      <c r="C183" s="7">
        <v>3.6</v>
      </c>
      <c r="D183" s="7">
        <v>3.37</v>
      </c>
      <c r="E183" s="7">
        <v>3.54</v>
      </c>
    </row>
    <row r="184" spans="1:5" x14ac:dyDescent="0.25">
      <c r="A184" s="68"/>
      <c r="B184" s="7">
        <v>3.28</v>
      </c>
      <c r="C184" s="7">
        <v>3.5</v>
      </c>
      <c r="D184" s="7">
        <v>3.9</v>
      </c>
      <c r="E184" s="7">
        <v>3.76</v>
      </c>
    </row>
    <row r="185" spans="1:5" x14ac:dyDescent="0.25">
      <c r="A185" s="68"/>
      <c r="B185" s="7">
        <v>3.36</v>
      </c>
      <c r="C185" s="7">
        <v>3.42</v>
      </c>
      <c r="D185" s="7">
        <v>3.28</v>
      </c>
      <c r="E185" s="7">
        <v>3.37</v>
      </c>
    </row>
    <row r="186" spans="1:5" x14ac:dyDescent="0.25">
      <c r="A186" s="68" t="s">
        <v>83</v>
      </c>
      <c r="B186" s="7" cm="1">
        <f t="array" ref="B186:B200">L3:L17</f>
        <v>3.17</v>
      </c>
      <c r="C186" s="7" cm="1">
        <f t="array" ref="C186:C200">AB3:AB17</f>
        <v>3.39</v>
      </c>
      <c r="D186" s="7" cm="1">
        <f t="array" ref="D186:D200">AR3:AR17</f>
        <v>2.98</v>
      </c>
      <c r="E186" s="7" cm="1">
        <f t="array" ref="E186:E200">BH3:BH17</f>
        <v>3.78</v>
      </c>
    </row>
    <row r="187" spans="1:5" x14ac:dyDescent="0.25">
      <c r="A187" s="68"/>
      <c r="B187" s="7">
        <v>3.71</v>
      </c>
      <c r="C187" s="7">
        <v>2.8</v>
      </c>
      <c r="D187" s="7">
        <v>3.82</v>
      </c>
      <c r="E187" s="7">
        <v>3.51</v>
      </c>
    </row>
    <row r="188" spans="1:5" x14ac:dyDescent="0.25">
      <c r="A188" s="68"/>
      <c r="B188" s="7">
        <v>3.61</v>
      </c>
      <c r="C188" s="7">
        <v>2.96</v>
      </c>
      <c r="D188" s="7">
        <v>4.4000000000000004</v>
      </c>
      <c r="E188" s="7">
        <v>3.62</v>
      </c>
    </row>
    <row r="189" spans="1:5" x14ac:dyDescent="0.25">
      <c r="A189" s="68"/>
      <c r="B189" s="7">
        <v>3.2</v>
      </c>
      <c r="C189" s="7">
        <v>3.9</v>
      </c>
      <c r="D189" s="7">
        <v>3.88</v>
      </c>
      <c r="E189" s="7">
        <v>3.82</v>
      </c>
    </row>
    <row r="190" spans="1:5" x14ac:dyDescent="0.25">
      <c r="A190" s="68"/>
      <c r="B190" s="7">
        <v>3.3</v>
      </c>
      <c r="C190" s="7">
        <v>3.34</v>
      </c>
      <c r="D190" s="7">
        <v>3.58</v>
      </c>
      <c r="E190" s="7">
        <v>3.78</v>
      </c>
    </row>
    <row r="191" spans="1:5" x14ac:dyDescent="0.25">
      <c r="A191" s="68"/>
      <c r="B191" s="7">
        <v>4.1500000000000004</v>
      </c>
      <c r="C191" s="7">
        <v>2.84</v>
      </c>
      <c r="D191" s="7">
        <v>4.01</v>
      </c>
      <c r="E191" s="7">
        <v>3.29</v>
      </c>
    </row>
    <row r="192" spans="1:5" x14ac:dyDescent="0.25">
      <c r="A192" s="68"/>
      <c r="B192" s="7">
        <v>3.59</v>
      </c>
      <c r="C192" s="7">
        <v>3.18</v>
      </c>
      <c r="D192" s="7">
        <v>3.3</v>
      </c>
      <c r="E192" s="7">
        <v>3.08</v>
      </c>
    </row>
    <row r="193" spans="1:5" x14ac:dyDescent="0.25">
      <c r="A193" s="68"/>
      <c r="B193" s="7">
        <v>2.95</v>
      </c>
      <c r="C193" s="7">
        <v>3.65</v>
      </c>
      <c r="D193" s="7">
        <v>3.44</v>
      </c>
      <c r="E193" s="7">
        <v>3.76</v>
      </c>
    </row>
    <row r="194" spans="1:5" x14ac:dyDescent="0.25">
      <c r="A194" s="68"/>
      <c r="B194" s="7">
        <v>3.15</v>
      </c>
      <c r="C194" s="7">
        <v>3.43</v>
      </c>
      <c r="D194" s="7">
        <v>3.54</v>
      </c>
      <c r="E194" s="7">
        <v>3.62</v>
      </c>
    </row>
    <row r="195" spans="1:5" x14ac:dyDescent="0.25">
      <c r="A195" s="68"/>
      <c r="B195" s="7">
        <v>3.57</v>
      </c>
      <c r="C195" s="7">
        <v>3.39</v>
      </c>
      <c r="D195" s="7">
        <v>3.88</v>
      </c>
      <c r="E195" s="7">
        <v>3</v>
      </c>
    </row>
    <row r="196" spans="1:5" x14ac:dyDescent="0.25">
      <c r="A196" s="68"/>
      <c r="B196" s="7">
        <v>2.9</v>
      </c>
      <c r="C196" s="7">
        <v>3.75</v>
      </c>
      <c r="D196" s="7">
        <v>3.68</v>
      </c>
      <c r="E196" s="7">
        <v>4.13</v>
      </c>
    </row>
    <row r="197" spans="1:5" x14ac:dyDescent="0.25">
      <c r="A197" s="68"/>
      <c r="B197" s="7">
        <v>3.15</v>
      </c>
      <c r="C197" s="7">
        <v>3.35</v>
      </c>
      <c r="D197" s="7">
        <v>3.4</v>
      </c>
      <c r="E197" s="7">
        <v>3.8</v>
      </c>
    </row>
    <row r="198" spans="1:5" x14ac:dyDescent="0.25">
      <c r="A198" s="68"/>
      <c r="B198" s="7">
        <v>3</v>
      </c>
      <c r="C198" s="7">
        <v>3.17</v>
      </c>
      <c r="D198" s="7">
        <v>3.92</v>
      </c>
      <c r="E198" s="7">
        <v>3.55</v>
      </c>
    </row>
    <row r="199" spans="1:5" x14ac:dyDescent="0.25">
      <c r="A199" s="68"/>
      <c r="B199" s="7">
        <v>3.22</v>
      </c>
      <c r="C199" s="7">
        <v>2.9</v>
      </c>
      <c r="D199" s="7">
        <v>3.85</v>
      </c>
      <c r="E199" s="7">
        <v>4.42</v>
      </c>
    </row>
    <row r="200" spans="1:5" x14ac:dyDescent="0.25">
      <c r="A200" s="68"/>
      <c r="B200" s="7">
        <v>3.4</v>
      </c>
      <c r="C200" s="7">
        <v>3.5</v>
      </c>
      <c r="D200" s="7">
        <v>4.05</v>
      </c>
      <c r="E200" s="7">
        <v>3.15</v>
      </c>
    </row>
    <row r="201" spans="1:5" x14ac:dyDescent="0.25">
      <c r="A201" s="68" t="s">
        <v>84</v>
      </c>
      <c r="B201" s="7" cm="1">
        <f t="array" ref="B201:B215">M3:M17</f>
        <v>3.19</v>
      </c>
      <c r="C201" s="7" cm="1">
        <f t="array" ref="C201:C215">AC3:AC17</f>
        <v>3.13</v>
      </c>
      <c r="D201" s="7" cm="1">
        <f t="array" ref="D201:D215">AS3:AS17</f>
        <v>3.61</v>
      </c>
      <c r="E201" s="7" cm="1">
        <f t="array" ref="E201:E215">BI3:BI17</f>
        <v>3.39</v>
      </c>
    </row>
    <row r="202" spans="1:5" x14ac:dyDescent="0.25">
      <c r="A202" s="68"/>
      <c r="B202" s="7">
        <v>3.7</v>
      </c>
      <c r="C202" s="7">
        <v>3.52</v>
      </c>
      <c r="D202" s="7">
        <v>3.27</v>
      </c>
      <c r="E202" s="7">
        <v>4.2300000000000004</v>
      </c>
    </row>
    <row r="203" spans="1:5" x14ac:dyDescent="0.25">
      <c r="A203" s="68"/>
      <c r="B203" s="7">
        <v>3.31</v>
      </c>
      <c r="C203" s="7">
        <v>3.19</v>
      </c>
      <c r="D203" s="7">
        <v>3.72</v>
      </c>
      <c r="E203" s="7">
        <v>3.9</v>
      </c>
    </row>
    <row r="204" spans="1:5" x14ac:dyDescent="0.25">
      <c r="A204" s="68"/>
      <c r="B204" s="7">
        <v>3.13</v>
      </c>
      <c r="C204" s="7">
        <v>3.61</v>
      </c>
      <c r="D204" s="7">
        <v>3.66</v>
      </c>
      <c r="E204" s="7">
        <v>3.75</v>
      </c>
    </row>
    <row r="205" spans="1:5" x14ac:dyDescent="0.25">
      <c r="A205" s="68"/>
      <c r="B205" s="7">
        <v>3.58</v>
      </c>
      <c r="C205" s="7">
        <v>3.47</v>
      </c>
      <c r="D205" s="7">
        <v>3.73</v>
      </c>
      <c r="E205" s="7">
        <v>3.41</v>
      </c>
    </row>
    <row r="206" spans="1:5" x14ac:dyDescent="0.25">
      <c r="A206" s="68"/>
      <c r="B206" s="7">
        <v>3.43</v>
      </c>
      <c r="C206" s="7">
        <v>3.78</v>
      </c>
      <c r="D206" s="7">
        <v>3.78</v>
      </c>
      <c r="E206" s="7">
        <v>3.25</v>
      </c>
    </row>
    <row r="207" spans="1:5" x14ac:dyDescent="0.25">
      <c r="A207" s="68"/>
      <c r="B207" s="7">
        <v>3.46</v>
      </c>
      <c r="C207" s="7">
        <v>2.94</v>
      </c>
      <c r="D207" s="7">
        <v>3.66</v>
      </c>
      <c r="E207" s="7">
        <v>3.81</v>
      </c>
    </row>
    <row r="208" spans="1:5" x14ac:dyDescent="0.25">
      <c r="A208" s="68"/>
      <c r="B208" s="7">
        <v>3.76</v>
      </c>
      <c r="C208" s="7">
        <v>3.27</v>
      </c>
      <c r="D208" s="7">
        <v>3.79</v>
      </c>
      <c r="E208" s="7">
        <v>3.55</v>
      </c>
    </row>
    <row r="209" spans="1:5" x14ac:dyDescent="0.25">
      <c r="A209" s="68"/>
      <c r="B209" s="7">
        <v>3.4</v>
      </c>
      <c r="C209" s="7">
        <v>3.58</v>
      </c>
      <c r="D209" s="7">
        <v>3.28</v>
      </c>
      <c r="E209" s="7">
        <v>3.57</v>
      </c>
    </row>
    <row r="210" spans="1:5" x14ac:dyDescent="0.25">
      <c r="A210" s="68"/>
      <c r="B210" s="7">
        <v>3.32</v>
      </c>
      <c r="C210" s="7">
        <v>3.98</v>
      </c>
      <c r="D210" s="7">
        <v>3.71</v>
      </c>
      <c r="E210" s="7">
        <v>3.88</v>
      </c>
    </row>
    <row r="211" spans="1:5" x14ac:dyDescent="0.25">
      <c r="A211" s="68"/>
      <c r="B211" s="7">
        <v>3.65</v>
      </c>
      <c r="C211" s="7">
        <v>4.18</v>
      </c>
      <c r="D211" s="7">
        <v>3.2</v>
      </c>
      <c r="E211" s="7">
        <v>3.08</v>
      </c>
    </row>
    <row r="212" spans="1:5" x14ac:dyDescent="0.25">
      <c r="A212" s="68"/>
      <c r="B212" s="7">
        <v>3.9</v>
      </c>
      <c r="C212" s="7">
        <v>3.64</v>
      </c>
      <c r="D212" s="7">
        <v>3.34</v>
      </c>
      <c r="E212" s="7">
        <v>3.51</v>
      </c>
    </row>
    <row r="213" spans="1:5" x14ac:dyDescent="0.25">
      <c r="A213" s="68"/>
      <c r="B213" s="7">
        <v>4.1100000000000003</v>
      </c>
      <c r="C213" s="7">
        <v>3.8</v>
      </c>
      <c r="D213" s="7">
        <v>3.62</v>
      </c>
      <c r="E213" s="7">
        <v>3.7</v>
      </c>
    </row>
    <row r="214" spans="1:5" x14ac:dyDescent="0.25">
      <c r="A214" s="68"/>
      <c r="B214" s="7">
        <v>3</v>
      </c>
      <c r="C214" s="7">
        <v>2</v>
      </c>
      <c r="D214" s="7">
        <v>3.4</v>
      </c>
      <c r="E214" s="7">
        <v>4.12</v>
      </c>
    </row>
    <row r="215" spans="1:5" x14ac:dyDescent="0.25">
      <c r="A215" s="68"/>
      <c r="B215" s="7">
        <v>3.5</v>
      </c>
      <c r="C215" s="7">
        <v>4</v>
      </c>
      <c r="D215" s="7">
        <v>3.75</v>
      </c>
      <c r="E215" s="7">
        <v>3.73</v>
      </c>
    </row>
    <row r="216" spans="1:5" x14ac:dyDescent="0.25">
      <c r="A216" s="68" t="s">
        <v>85</v>
      </c>
      <c r="B216" s="7" cm="1">
        <f t="array" ref="B216:B230">N3:N17</f>
        <v>3.33</v>
      </c>
      <c r="C216" s="7" cm="1">
        <f t="array" ref="C216:C230">AD3:AD17</f>
        <v>3.75</v>
      </c>
      <c r="D216" s="7" cm="1">
        <f t="array" ref="D216:D230">AT3:AT17</f>
        <v>3.44</v>
      </c>
      <c r="E216" s="7" cm="1">
        <f t="array" ref="E216:E230">BJ3:BJ17</f>
        <v>3.61</v>
      </c>
    </row>
    <row r="217" spans="1:5" x14ac:dyDescent="0.25">
      <c r="A217" s="68"/>
      <c r="B217" s="7">
        <v>2.92</v>
      </c>
      <c r="C217" s="7">
        <v>3.32</v>
      </c>
      <c r="D217" s="7">
        <v>3.9</v>
      </c>
      <c r="E217" s="7">
        <v>3.67</v>
      </c>
    </row>
    <row r="218" spans="1:5" x14ac:dyDescent="0.25">
      <c r="A218" s="68"/>
      <c r="B218" s="7">
        <v>3.44</v>
      </c>
      <c r="C218" s="7">
        <v>3.3</v>
      </c>
      <c r="D218" s="7">
        <v>4.32</v>
      </c>
      <c r="E218" s="7">
        <v>3.11</v>
      </c>
    </row>
    <row r="219" spans="1:5" x14ac:dyDescent="0.25">
      <c r="A219" s="68"/>
      <c r="B219" s="7">
        <v>3.25</v>
      </c>
      <c r="C219" s="7">
        <v>3.39</v>
      </c>
      <c r="D219" s="7">
        <v>3.9</v>
      </c>
      <c r="E219" s="7">
        <v>3.89</v>
      </c>
    </row>
    <row r="220" spans="1:5" x14ac:dyDescent="0.25">
      <c r="A220" s="68"/>
      <c r="B220" s="7">
        <v>3.65</v>
      </c>
      <c r="C220" s="7">
        <v>3.37</v>
      </c>
      <c r="D220" s="7">
        <v>3.86</v>
      </c>
      <c r="E220" s="7">
        <v>3.63</v>
      </c>
    </row>
    <row r="221" spans="1:5" x14ac:dyDescent="0.25">
      <c r="A221" s="68"/>
      <c r="B221" s="7">
        <v>3.44</v>
      </c>
      <c r="C221" s="7">
        <v>3.59</v>
      </c>
      <c r="D221" s="7">
        <v>3.97</v>
      </c>
      <c r="E221" s="7">
        <v>4.04</v>
      </c>
    </row>
    <row r="222" spans="1:5" x14ac:dyDescent="0.25">
      <c r="A222" s="68"/>
      <c r="B222" s="7">
        <v>3.43</v>
      </c>
      <c r="C222" s="7">
        <v>3.38</v>
      </c>
      <c r="D222" s="7">
        <v>3.49</v>
      </c>
      <c r="E222" s="7">
        <v>4.28</v>
      </c>
    </row>
    <row r="223" spans="1:5" x14ac:dyDescent="0.25">
      <c r="A223" s="68"/>
      <c r="B223" s="7">
        <v>3.63</v>
      </c>
      <c r="C223" s="7">
        <v>3.15</v>
      </c>
      <c r="D223" s="7">
        <v>3.61</v>
      </c>
      <c r="E223" s="7">
        <v>3.73</v>
      </c>
    </row>
    <row r="224" spans="1:5" x14ac:dyDescent="0.25">
      <c r="A224" s="68"/>
      <c r="B224" s="7">
        <v>3.9</v>
      </c>
      <c r="C224" s="7">
        <v>3.58</v>
      </c>
      <c r="D224" s="7">
        <v>3.51</v>
      </c>
      <c r="E224" s="7">
        <v>3.97</v>
      </c>
    </row>
    <row r="225" spans="1:5" x14ac:dyDescent="0.25">
      <c r="A225" s="68"/>
      <c r="B225" s="7">
        <v>4</v>
      </c>
      <c r="C225" s="7">
        <v>3.79</v>
      </c>
      <c r="D225" s="7">
        <v>3.32</v>
      </c>
      <c r="E225" s="7">
        <v>3.64</v>
      </c>
    </row>
    <row r="226" spans="1:5" x14ac:dyDescent="0.25">
      <c r="A226" s="68"/>
      <c r="B226" s="7">
        <v>3.38</v>
      </c>
      <c r="C226" s="7">
        <v>3.61</v>
      </c>
      <c r="D226" s="7">
        <v>3.09</v>
      </c>
      <c r="E226" s="7">
        <v>3.69</v>
      </c>
    </row>
    <row r="227" spans="1:5" x14ac:dyDescent="0.25">
      <c r="A227" s="68"/>
      <c r="B227" s="7">
        <v>3.14</v>
      </c>
      <c r="C227" s="7">
        <v>3.57</v>
      </c>
      <c r="D227" s="7">
        <v>3.33</v>
      </c>
      <c r="E227" s="7">
        <v>3.82</v>
      </c>
    </row>
    <row r="228" spans="1:5" x14ac:dyDescent="0.25">
      <c r="A228" s="68"/>
      <c r="B228" s="7">
        <v>3.52</v>
      </c>
      <c r="C228" s="7">
        <v>3.3</v>
      </c>
      <c r="D228" s="7">
        <v>3.9</v>
      </c>
      <c r="E228" s="7">
        <v>4.05</v>
      </c>
    </row>
    <row r="229" spans="1:5" x14ac:dyDescent="0.25">
      <c r="A229" s="68"/>
      <c r="B229" s="7">
        <v>3.32</v>
      </c>
      <c r="C229" s="7">
        <v>2.82</v>
      </c>
      <c r="D229" s="7">
        <v>4.07</v>
      </c>
      <c r="E229" s="7">
        <v>4</v>
      </c>
    </row>
    <row r="230" spans="1:5" x14ac:dyDescent="0.25">
      <c r="A230" s="68"/>
      <c r="B230" s="7">
        <v>3.23</v>
      </c>
      <c r="C230" s="7">
        <v>3</v>
      </c>
      <c r="D230" s="7">
        <v>2</v>
      </c>
      <c r="E230" s="7">
        <v>3.32</v>
      </c>
    </row>
    <row r="231" spans="1:5" x14ac:dyDescent="0.25">
      <c r="A231" s="68" t="s">
        <v>86</v>
      </c>
      <c r="B231" s="7" cm="1">
        <f t="array" ref="B231:B245">O3:O17</f>
        <v>3.64</v>
      </c>
      <c r="C231" s="7" cm="1">
        <f t="array" ref="C231:C245">AE3:AE17</f>
        <v>3.9</v>
      </c>
      <c r="D231" s="7" cm="1">
        <f t="array" ref="D231:D245">AU3:AU17</f>
        <v>3.43</v>
      </c>
      <c r="E231" s="7" cm="1">
        <f t="array" ref="E231:E245">BK3:BK17</f>
        <v>2.77</v>
      </c>
    </row>
    <row r="232" spans="1:5" x14ac:dyDescent="0.25">
      <c r="A232" s="68"/>
      <c r="B232" s="7">
        <v>2.61</v>
      </c>
      <c r="C232" s="7">
        <v>3.3</v>
      </c>
      <c r="D232" s="7">
        <v>3.33</v>
      </c>
      <c r="E232" s="7">
        <v>3.5</v>
      </c>
    </row>
    <row r="233" spans="1:5" x14ac:dyDescent="0.25">
      <c r="A233" s="68"/>
      <c r="B233" s="7">
        <v>2.94</v>
      </c>
      <c r="C233" s="7">
        <v>3.78</v>
      </c>
      <c r="D233" s="7">
        <v>4.07</v>
      </c>
      <c r="E233" s="7">
        <v>3.49</v>
      </c>
    </row>
    <row r="234" spans="1:5" x14ac:dyDescent="0.25">
      <c r="A234" s="68"/>
      <c r="B234" s="7">
        <v>3.31</v>
      </c>
      <c r="C234" s="7">
        <v>3.88</v>
      </c>
      <c r="D234" s="7">
        <v>3.26</v>
      </c>
      <c r="E234" s="7">
        <v>3.86</v>
      </c>
    </row>
    <row r="235" spans="1:5" x14ac:dyDescent="0.25">
      <c r="A235" s="68"/>
      <c r="B235" s="7">
        <v>3.28</v>
      </c>
      <c r="C235" s="7">
        <v>3.75</v>
      </c>
      <c r="D235" s="7">
        <v>3.62</v>
      </c>
      <c r="E235" s="7">
        <v>3.9</v>
      </c>
    </row>
    <row r="236" spans="1:5" x14ac:dyDescent="0.25">
      <c r="A236" s="68"/>
      <c r="B236" s="7">
        <v>3.65</v>
      </c>
      <c r="C236" s="7">
        <v>3.72</v>
      </c>
      <c r="D236" s="7">
        <v>3.95</v>
      </c>
      <c r="E236" s="7">
        <v>4.2300000000000004</v>
      </c>
    </row>
    <row r="237" spans="1:5" x14ac:dyDescent="0.25">
      <c r="A237" s="68"/>
      <c r="B237" s="7">
        <v>3.32</v>
      </c>
      <c r="C237" s="7">
        <v>3.09</v>
      </c>
      <c r="D237" s="7">
        <v>3.31</v>
      </c>
      <c r="E237" s="7">
        <v>3.71</v>
      </c>
    </row>
    <row r="238" spans="1:5" x14ac:dyDescent="0.25">
      <c r="A238" s="68"/>
      <c r="B238" s="7">
        <v>3.19</v>
      </c>
      <c r="C238" s="7">
        <v>3.69</v>
      </c>
      <c r="D238" s="7">
        <v>3.59</v>
      </c>
      <c r="E238" s="7">
        <v>4.08</v>
      </c>
    </row>
    <row r="239" spans="1:5" x14ac:dyDescent="0.25">
      <c r="A239" s="68"/>
      <c r="B239" s="7">
        <v>3.35</v>
      </c>
      <c r="C239" s="7">
        <v>3.46</v>
      </c>
      <c r="D239" s="7">
        <v>3.34</v>
      </c>
      <c r="E239" s="7">
        <v>2.99</v>
      </c>
    </row>
    <row r="240" spans="1:5" x14ac:dyDescent="0.25">
      <c r="A240" s="68"/>
      <c r="B240" s="7">
        <v>3.84</v>
      </c>
      <c r="C240" s="7">
        <v>3.4</v>
      </c>
      <c r="D240" s="7">
        <v>3.32</v>
      </c>
      <c r="E240" s="7">
        <v>4.28</v>
      </c>
    </row>
    <row r="241" spans="1:5" x14ac:dyDescent="0.25">
      <c r="A241" s="68"/>
      <c r="B241" s="7">
        <v>3.72</v>
      </c>
      <c r="C241" s="7">
        <v>3.65</v>
      </c>
      <c r="D241" s="7">
        <v>3.71</v>
      </c>
      <c r="E241" s="7">
        <v>3.7</v>
      </c>
    </row>
    <row r="242" spans="1:5" x14ac:dyDescent="0.25">
      <c r="A242" s="68"/>
      <c r="B242" s="7">
        <v>3.2</v>
      </c>
      <c r="C242" s="7">
        <v>3.14</v>
      </c>
      <c r="D242" s="7">
        <v>3.38</v>
      </c>
      <c r="E242" s="7">
        <v>3.61</v>
      </c>
    </row>
    <row r="243" spans="1:5" x14ac:dyDescent="0.25">
      <c r="A243" s="68"/>
      <c r="B243" s="7">
        <v>3.18</v>
      </c>
      <c r="C243" s="7">
        <v>3.55</v>
      </c>
      <c r="D243" s="7">
        <v>4.08</v>
      </c>
      <c r="E243" s="7">
        <v>3</v>
      </c>
    </row>
    <row r="244" spans="1:5" x14ac:dyDescent="0.25">
      <c r="A244" s="68"/>
      <c r="B244" s="7">
        <v>3.65</v>
      </c>
      <c r="C244" s="7">
        <v>3.13</v>
      </c>
      <c r="D244" s="7">
        <v>4.4400000000000004</v>
      </c>
      <c r="E244" s="7">
        <v>4</v>
      </c>
    </row>
    <row r="245" spans="1:5" x14ac:dyDescent="0.25">
      <c r="A245" s="68"/>
      <c r="B245" s="7">
        <v>3.28</v>
      </c>
      <c r="C245" s="7">
        <v>4.45</v>
      </c>
      <c r="D245" s="7">
        <v>3.87</v>
      </c>
      <c r="E245" s="7">
        <v>4</v>
      </c>
    </row>
    <row r="246" spans="1:5" x14ac:dyDescent="0.25">
      <c r="A246" s="68" t="s">
        <v>87</v>
      </c>
      <c r="B246" s="7" cm="1">
        <f t="array" ref="B246:B260">P3:P17</f>
        <v>3.37</v>
      </c>
      <c r="C246" s="7" cm="1">
        <f t="array" ref="C246:C260">AF3:AF17</f>
        <v>3.39</v>
      </c>
      <c r="D246" s="7" cm="1">
        <f t="array" ref="D246:D260">AV3:AV17</f>
        <v>3.69</v>
      </c>
      <c r="E246" s="7" cm="1">
        <f t="array" ref="E246:E260">BL3:BL17</f>
        <v>4.41</v>
      </c>
    </row>
    <row r="247" spans="1:5" x14ac:dyDescent="0.25">
      <c r="A247" s="68"/>
      <c r="B247" s="7">
        <v>3.3</v>
      </c>
      <c r="C247" s="7">
        <v>3.32</v>
      </c>
      <c r="D247" s="7">
        <v>3.79</v>
      </c>
      <c r="E247" s="7">
        <v>3.71</v>
      </c>
    </row>
    <row r="248" spans="1:5" x14ac:dyDescent="0.25">
      <c r="A248" s="68"/>
      <c r="B248" s="7">
        <v>3.81</v>
      </c>
      <c r="C248" s="7">
        <v>3.4</v>
      </c>
      <c r="D248" s="7">
        <v>4.4000000000000004</v>
      </c>
      <c r="E248" s="7">
        <v>4.16</v>
      </c>
    </row>
    <row r="249" spans="1:5" x14ac:dyDescent="0.25">
      <c r="A249" s="68"/>
      <c r="B249" s="7">
        <v>3.21</v>
      </c>
      <c r="C249" s="7">
        <v>3.65</v>
      </c>
      <c r="D249" s="7">
        <v>3.9</v>
      </c>
      <c r="E249" s="7">
        <v>3.02</v>
      </c>
    </row>
    <row r="250" spans="1:5" x14ac:dyDescent="0.25">
      <c r="A250" s="68"/>
      <c r="B250" s="7">
        <v>3.03</v>
      </c>
      <c r="C250" s="7">
        <v>3.53</v>
      </c>
      <c r="D250" s="7">
        <v>3.57</v>
      </c>
      <c r="E250" s="7">
        <v>3.78</v>
      </c>
    </row>
    <row r="251" spans="1:5" x14ac:dyDescent="0.25">
      <c r="A251" s="68"/>
      <c r="B251" s="7">
        <v>3.9</v>
      </c>
      <c r="C251" s="7">
        <v>3.22</v>
      </c>
      <c r="D251" s="7">
        <v>3.93</v>
      </c>
      <c r="E251" s="7">
        <v>3.58</v>
      </c>
    </row>
    <row r="252" spans="1:5" x14ac:dyDescent="0.25">
      <c r="A252" s="68"/>
      <c r="B252" s="7">
        <v>3.07</v>
      </c>
      <c r="C252" s="7">
        <v>3.61</v>
      </c>
      <c r="D252" s="7">
        <v>3.63</v>
      </c>
      <c r="E252" s="7">
        <v>3.42</v>
      </c>
    </row>
    <row r="253" spans="1:5" x14ac:dyDescent="0.25">
      <c r="A253" s="68"/>
      <c r="B253" s="7">
        <v>3.75</v>
      </c>
      <c r="C253" s="7">
        <v>3.58</v>
      </c>
      <c r="D253" s="7">
        <v>3.27</v>
      </c>
      <c r="E253" s="7">
        <v>3.5</v>
      </c>
    </row>
    <row r="254" spans="1:5" x14ac:dyDescent="0.25">
      <c r="A254" s="68"/>
      <c r="B254" s="7">
        <v>3.03</v>
      </c>
      <c r="C254" s="7">
        <v>3.3</v>
      </c>
      <c r="D254" s="7">
        <v>3.31</v>
      </c>
      <c r="E254" s="7">
        <v>3.4</v>
      </c>
    </row>
    <row r="255" spans="1:5" x14ac:dyDescent="0.25">
      <c r="A255" s="68"/>
      <c r="B255" s="7">
        <v>2.82</v>
      </c>
      <c r="C255" s="7">
        <v>3.57</v>
      </c>
      <c r="D255" s="7">
        <v>3.2</v>
      </c>
      <c r="E255" s="7">
        <v>4.8499999999999996</v>
      </c>
    </row>
    <row r="256" spans="1:5" x14ac:dyDescent="0.25">
      <c r="A256" s="68"/>
      <c r="B256" s="7">
        <v>3.86</v>
      </c>
      <c r="C256" s="7">
        <v>4.2300000000000004</v>
      </c>
      <c r="D256" s="7">
        <v>3.18</v>
      </c>
      <c r="E256" s="7">
        <v>4.1900000000000004</v>
      </c>
    </row>
    <row r="257" spans="1:5" x14ac:dyDescent="0.25">
      <c r="A257" s="68"/>
      <c r="B257" s="7">
        <v>2.96</v>
      </c>
      <c r="C257" s="7">
        <v>3.41</v>
      </c>
      <c r="D257" s="7">
        <v>3.46</v>
      </c>
      <c r="E257" s="7">
        <v>3.45</v>
      </c>
    </row>
    <row r="258" spans="1:5" x14ac:dyDescent="0.25">
      <c r="A258" s="68"/>
      <c r="B258" s="7">
        <v>3.78</v>
      </c>
      <c r="C258" s="7">
        <v>3.62</v>
      </c>
      <c r="D258" s="7">
        <v>3.9</v>
      </c>
      <c r="E258" s="7">
        <v>2.6</v>
      </c>
    </row>
    <row r="259" spans="1:5" x14ac:dyDescent="0.25">
      <c r="A259" s="68"/>
      <c r="B259" s="7">
        <v>2.68</v>
      </c>
      <c r="C259" s="7">
        <v>3.56</v>
      </c>
      <c r="D259" s="7">
        <v>3.35</v>
      </c>
      <c r="E259" s="7">
        <v>3.9</v>
      </c>
    </row>
    <row r="260" spans="1:5" x14ac:dyDescent="0.25">
      <c r="A260" s="68"/>
      <c r="B260" s="7">
        <v>3.2</v>
      </c>
      <c r="C260" s="7">
        <v>3.74</v>
      </c>
      <c r="D260" s="7">
        <v>3.02</v>
      </c>
      <c r="E260" s="7">
        <v>3.9</v>
      </c>
    </row>
  </sheetData>
  <mergeCells count="28">
    <mergeCell ref="A1:P1"/>
    <mergeCell ref="Q1:AF1"/>
    <mergeCell ref="AG1:AV1"/>
    <mergeCell ref="AW1:BL1"/>
    <mergeCell ref="A21:A35"/>
    <mergeCell ref="O29:O30"/>
    <mergeCell ref="O31:O32"/>
    <mergeCell ref="O33:O34"/>
    <mergeCell ref="O35:O36"/>
    <mergeCell ref="M42:N42"/>
    <mergeCell ref="A141:A155"/>
    <mergeCell ref="A156:A170"/>
    <mergeCell ref="A171:A185"/>
    <mergeCell ref="A186:A200"/>
    <mergeCell ref="A51:A65"/>
    <mergeCell ref="A66:A80"/>
    <mergeCell ref="A81:A95"/>
    <mergeCell ref="A96:A110"/>
    <mergeCell ref="A111:A125"/>
    <mergeCell ref="A126:A140"/>
    <mergeCell ref="A36:A50"/>
    <mergeCell ref="A231:A245"/>
    <mergeCell ref="A246:A260"/>
    <mergeCell ref="G42:H42"/>
    <mergeCell ref="I42:J42"/>
    <mergeCell ref="K42:L42"/>
    <mergeCell ref="A201:A215"/>
    <mergeCell ref="A216:A230"/>
  </mergeCells>
  <conditionalFormatting sqref="A3:P17">
    <cfRule type="cellIs" dxfId="3" priority="4" operator="between">
      <formula>2</formula>
      <formula>4</formula>
    </cfRule>
  </conditionalFormatting>
  <conditionalFormatting sqref="Q3:AF17">
    <cfRule type="cellIs" dxfId="2" priority="3" operator="between">
      <formula>2</formula>
      <formula>4</formula>
    </cfRule>
  </conditionalFormatting>
  <conditionalFormatting sqref="AG3:AV17">
    <cfRule type="cellIs" dxfId="1" priority="2" operator="between">
      <formula>2</formula>
      <formula>4</formula>
    </cfRule>
  </conditionalFormatting>
  <conditionalFormatting sqref="AW3:BL17">
    <cfRule type="cellIs" dxfId="0" priority="1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6805-21D3-4131-A5F7-728552BF916E}">
  <sheetPr codeName="Sheet6"/>
  <dimension ref="A1:E23"/>
  <sheetViews>
    <sheetView zoomScale="112" zoomScaleNormal="175" workbookViewId="0">
      <selection activeCell="B18" sqref="B18"/>
    </sheetView>
  </sheetViews>
  <sheetFormatPr defaultRowHeight="15" x14ac:dyDescent="0.25"/>
  <cols>
    <col min="1" max="1" width="18.42578125" customWidth="1"/>
    <col min="2" max="2" width="24.140625" bestFit="1" customWidth="1"/>
    <col min="3" max="3" width="21.5703125" bestFit="1" customWidth="1"/>
    <col min="4" max="4" width="19.5703125" bestFit="1" customWidth="1"/>
    <col min="5" max="5" width="27.140625" bestFit="1" customWidth="1"/>
  </cols>
  <sheetData>
    <row r="1" spans="1:5" x14ac:dyDescent="0.25">
      <c r="A1" s="19" t="s">
        <v>92</v>
      </c>
      <c r="B1" s="20" t="s">
        <v>100</v>
      </c>
      <c r="C1" s="20" t="s">
        <v>91</v>
      </c>
      <c r="D1" s="21" t="s">
        <v>162</v>
      </c>
      <c r="E1" s="14" t="s">
        <v>163</v>
      </c>
    </row>
    <row r="2" spans="1:5" x14ac:dyDescent="0.25">
      <c r="A2" s="22" t="s">
        <v>72</v>
      </c>
      <c r="B2" s="15">
        <f>COUNTIF(Data!E$2:E$61,"&gt;4")</f>
        <v>3</v>
      </c>
      <c r="C2" s="16">
        <f>B2/60</f>
        <v>0.05</v>
      </c>
      <c r="D2" s="23">
        <f>60-B2</f>
        <v>57</v>
      </c>
      <c r="E2" s="7">
        <f>$B$19</f>
        <v>18</v>
      </c>
    </row>
    <row r="3" spans="1:5" x14ac:dyDescent="0.25">
      <c r="A3" s="22" t="s">
        <v>73</v>
      </c>
      <c r="B3" s="15">
        <f>COUNTIF(Data!F$2:F$61,"&gt;4")</f>
        <v>5</v>
      </c>
      <c r="C3" s="16">
        <f t="shared" ref="C3:C17" si="0">B3/60</f>
        <v>8.3333333333333329E-2</v>
      </c>
      <c r="D3" s="23">
        <f t="shared" ref="D3:D17" si="1">60-B3</f>
        <v>55</v>
      </c>
      <c r="E3" s="7">
        <f t="shared" ref="E3:E17" si="2">$B$19</f>
        <v>18</v>
      </c>
    </row>
    <row r="4" spans="1:5" x14ac:dyDescent="0.25">
      <c r="A4" s="22" t="s">
        <v>74</v>
      </c>
      <c r="B4" s="15">
        <f>COUNTIF(Data!G2:G$61,"&gt;4")</f>
        <v>4</v>
      </c>
      <c r="C4" s="16">
        <f t="shared" si="0"/>
        <v>6.6666666666666666E-2</v>
      </c>
      <c r="D4" s="23">
        <f t="shared" si="1"/>
        <v>56</v>
      </c>
      <c r="E4" s="7">
        <f t="shared" si="2"/>
        <v>18</v>
      </c>
    </row>
    <row r="5" spans="1:5" x14ac:dyDescent="0.25">
      <c r="A5" s="22" t="s">
        <v>75</v>
      </c>
      <c r="B5" s="15">
        <f>COUNTIF(Data!H$2:H$61,"&gt;4")</f>
        <v>9</v>
      </c>
      <c r="C5" s="16">
        <f t="shared" si="0"/>
        <v>0.15</v>
      </c>
      <c r="D5" s="23">
        <f t="shared" si="1"/>
        <v>51</v>
      </c>
      <c r="E5" s="7">
        <f t="shared" si="2"/>
        <v>18</v>
      </c>
    </row>
    <row r="6" spans="1:5" x14ac:dyDescent="0.25">
      <c r="A6" s="22" t="s">
        <v>76</v>
      </c>
      <c r="B6" s="15">
        <f>COUNTIF(Data!I$2:I$61,"&gt;4")</f>
        <v>55</v>
      </c>
      <c r="C6" s="16">
        <f t="shared" si="0"/>
        <v>0.91666666666666663</v>
      </c>
      <c r="D6" s="23">
        <f t="shared" si="1"/>
        <v>5</v>
      </c>
      <c r="E6" s="7">
        <f t="shared" si="2"/>
        <v>18</v>
      </c>
    </row>
    <row r="7" spans="1:5" x14ac:dyDescent="0.25">
      <c r="A7" s="22" t="s">
        <v>77</v>
      </c>
      <c r="B7" s="15">
        <f>COUNTIF(Data!J$2:J$61,"&gt;4")</f>
        <v>53</v>
      </c>
      <c r="C7" s="16">
        <f t="shared" si="0"/>
        <v>0.8833333333333333</v>
      </c>
      <c r="D7" s="23">
        <f t="shared" si="1"/>
        <v>7</v>
      </c>
      <c r="E7" s="7">
        <f t="shared" si="2"/>
        <v>18</v>
      </c>
    </row>
    <row r="8" spans="1:5" x14ac:dyDescent="0.25">
      <c r="A8" s="22" t="s">
        <v>78</v>
      </c>
      <c r="B8" s="15">
        <f>COUNTIF(Data!K$2:K$61,"&gt;4")</f>
        <v>57</v>
      </c>
      <c r="C8" s="16">
        <f t="shared" si="0"/>
        <v>0.95</v>
      </c>
      <c r="D8" s="23">
        <f t="shared" si="1"/>
        <v>3</v>
      </c>
      <c r="E8" s="7">
        <f t="shared" si="2"/>
        <v>18</v>
      </c>
    </row>
    <row r="9" spans="1:5" x14ac:dyDescent="0.25">
      <c r="A9" s="22" t="s">
        <v>79</v>
      </c>
      <c r="B9" s="15">
        <f>COUNTIF(Data!L$2:L$61,"&gt;4")</f>
        <v>52</v>
      </c>
      <c r="C9" s="16">
        <f t="shared" si="0"/>
        <v>0.8666666666666667</v>
      </c>
      <c r="D9" s="23">
        <f t="shared" si="1"/>
        <v>8</v>
      </c>
      <c r="E9" s="7">
        <f t="shared" si="2"/>
        <v>18</v>
      </c>
    </row>
    <row r="10" spans="1:5" x14ac:dyDescent="0.25">
      <c r="A10" s="22" t="s">
        <v>80</v>
      </c>
      <c r="B10" s="15">
        <f>COUNTIF(Data!M$2:M$61,"&gt;4")</f>
        <v>9</v>
      </c>
      <c r="C10" s="16">
        <f t="shared" si="0"/>
        <v>0.15</v>
      </c>
      <c r="D10" s="23">
        <f t="shared" si="1"/>
        <v>51</v>
      </c>
      <c r="E10" s="7">
        <f t="shared" si="2"/>
        <v>18</v>
      </c>
    </row>
    <row r="11" spans="1:5" x14ac:dyDescent="0.25">
      <c r="A11" s="22" t="s">
        <v>81</v>
      </c>
      <c r="B11" s="15">
        <f>COUNTIF(Data!N$2:N$61,"&gt;4")</f>
        <v>6</v>
      </c>
      <c r="C11" s="16">
        <f t="shared" si="0"/>
        <v>0.1</v>
      </c>
      <c r="D11" s="23">
        <f t="shared" si="1"/>
        <v>54</v>
      </c>
      <c r="E11" s="7">
        <f t="shared" si="2"/>
        <v>18</v>
      </c>
    </row>
    <row r="12" spans="1:5" x14ac:dyDescent="0.25">
      <c r="A12" s="22" t="s">
        <v>82</v>
      </c>
      <c r="B12" s="15">
        <f>COUNTIF(Data!O$2:O$61,"&gt;4")</f>
        <v>7</v>
      </c>
      <c r="C12" s="16">
        <f t="shared" si="0"/>
        <v>0.11666666666666667</v>
      </c>
      <c r="D12" s="23">
        <f t="shared" si="1"/>
        <v>53</v>
      </c>
      <c r="E12" s="7">
        <f t="shared" si="2"/>
        <v>18</v>
      </c>
    </row>
    <row r="13" spans="1:5" x14ac:dyDescent="0.25">
      <c r="A13" s="22" t="s">
        <v>83</v>
      </c>
      <c r="B13" s="15">
        <f>COUNTIF(Data!P$2:P$61,"&gt;4")</f>
        <v>6</v>
      </c>
      <c r="C13" s="16">
        <f t="shared" si="0"/>
        <v>0.1</v>
      </c>
      <c r="D13" s="23">
        <f t="shared" si="1"/>
        <v>54</v>
      </c>
      <c r="E13" s="7">
        <f t="shared" si="2"/>
        <v>18</v>
      </c>
    </row>
    <row r="14" spans="1:5" x14ac:dyDescent="0.25">
      <c r="A14" s="22" t="s">
        <v>84</v>
      </c>
      <c r="B14" s="15">
        <f>COUNTIF(Data!Q$2:Q$61,"&gt;4")</f>
        <v>4</v>
      </c>
      <c r="C14" s="16">
        <f t="shared" si="0"/>
        <v>6.6666666666666666E-2</v>
      </c>
      <c r="D14" s="23">
        <f t="shared" si="1"/>
        <v>56</v>
      </c>
      <c r="E14" s="7">
        <f t="shared" si="2"/>
        <v>18</v>
      </c>
    </row>
    <row r="15" spans="1:5" x14ac:dyDescent="0.25">
      <c r="A15" s="22" t="s">
        <v>85</v>
      </c>
      <c r="B15" s="15">
        <f>COUNTIF(Data!R$2:R$61,"&gt;4")</f>
        <v>5</v>
      </c>
      <c r="C15" s="16">
        <f t="shared" si="0"/>
        <v>8.3333333333333329E-2</v>
      </c>
      <c r="D15" s="23">
        <f t="shared" si="1"/>
        <v>55</v>
      </c>
      <c r="E15" s="7">
        <f t="shared" si="2"/>
        <v>18</v>
      </c>
    </row>
    <row r="16" spans="1:5" x14ac:dyDescent="0.25">
      <c r="A16" s="22" t="s">
        <v>86</v>
      </c>
      <c r="B16" s="15">
        <f>COUNTIF(Data!S$2:S$61,"&gt;4")</f>
        <v>7</v>
      </c>
      <c r="C16" s="16">
        <f t="shared" si="0"/>
        <v>0.11666666666666667</v>
      </c>
      <c r="D16" s="23">
        <f t="shared" si="1"/>
        <v>53</v>
      </c>
      <c r="E16" s="7">
        <f t="shared" si="2"/>
        <v>18</v>
      </c>
    </row>
    <row r="17" spans="1:5" ht="15.75" thickBot="1" x14ac:dyDescent="0.3">
      <c r="A17" s="24" t="s">
        <v>87</v>
      </c>
      <c r="B17" s="25">
        <f>COUNTIF(Data!T$2:T$61,"&gt;4")</f>
        <v>6</v>
      </c>
      <c r="C17" s="26">
        <f t="shared" si="0"/>
        <v>0.1</v>
      </c>
      <c r="D17" s="23">
        <f t="shared" si="1"/>
        <v>54</v>
      </c>
      <c r="E17" s="7">
        <f t="shared" si="2"/>
        <v>18</v>
      </c>
    </row>
    <row r="18" spans="1:5" x14ac:dyDescent="0.25">
      <c r="A18" s="17" t="s">
        <v>101</v>
      </c>
      <c r="B18" s="4">
        <f>SUM(B2:B17)</f>
        <v>288</v>
      </c>
    </row>
    <row r="19" spans="1:5" x14ac:dyDescent="0.25">
      <c r="A19" s="17" t="s">
        <v>102</v>
      </c>
      <c r="B19" s="4">
        <f>B18/(16)</f>
        <v>18</v>
      </c>
    </row>
    <row r="21" spans="1:5" x14ac:dyDescent="0.25">
      <c r="A21" s="18" t="s">
        <v>104</v>
      </c>
      <c r="B21" s="6" cm="1">
        <f t="array" ref="B21">SUM((B2:B17-E2:E17)^2/E2:E17)</f>
        <v>392.33333333333343</v>
      </c>
    </row>
    <row r="22" spans="1:5" x14ac:dyDescent="0.25">
      <c r="A22" s="4" t="s">
        <v>103</v>
      </c>
      <c r="B22" s="36">
        <f>_xlfn.CHISQ.DIST.RT(B21,15)</f>
        <v>2.8208940774753868E-74</v>
      </c>
    </row>
    <row r="23" spans="1:5" x14ac:dyDescent="0.25">
      <c r="A23" s="37" t="s">
        <v>164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Pivot Table</vt:lpstr>
      <vt:lpstr>Gap Across Operators</vt:lpstr>
      <vt:lpstr>Gap Across Time Shift</vt:lpstr>
      <vt:lpstr>Non-conformance per point</vt:lpstr>
    </vt:vector>
  </TitlesOfParts>
  <Company>Tesla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Altuve</dc:creator>
  <cp:lastModifiedBy>Miguel Altuve</cp:lastModifiedBy>
  <dcterms:created xsi:type="dcterms:W3CDTF">2025-09-27T13:19:33Z</dcterms:created>
  <dcterms:modified xsi:type="dcterms:W3CDTF">2025-09-29T21:48:36Z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2d06e56-1756-4005-87f1-1edc72dd4bdf_Enabled">
    <vt:lpwstr>true</vt:lpwstr>
  </property>
  <property fmtid="{D5CDD505-2E9C-101B-9397-08002B2CF9AE}" pid="3" name="MSIP_Label_52d06e56-1756-4005-87f1-1edc72dd4bdf_SetDate">
    <vt:lpwstr>2025-09-27T13:19:43Z</vt:lpwstr>
  </property>
  <property fmtid="{D5CDD505-2E9C-101B-9397-08002B2CF9AE}" pid="4" name="MSIP_Label_52d06e56-1756-4005-87f1-1edc72dd4bdf_Method">
    <vt:lpwstr>Standard</vt:lpwstr>
  </property>
  <property fmtid="{D5CDD505-2E9C-101B-9397-08002B2CF9AE}" pid="5" name="MSIP_Label_52d06e56-1756-4005-87f1-1edc72dd4bdf_Name">
    <vt:lpwstr>General</vt:lpwstr>
  </property>
  <property fmtid="{D5CDD505-2E9C-101B-9397-08002B2CF9AE}" pid="6" name="MSIP_Label_52d06e56-1756-4005-87f1-1edc72dd4bdf_SiteId">
    <vt:lpwstr>9026c5f4-86d0-4b9f-bd39-b7d4d0fb4674</vt:lpwstr>
  </property>
  <property fmtid="{D5CDD505-2E9C-101B-9397-08002B2CF9AE}" pid="7" name="MSIP_Label_52d06e56-1756-4005-87f1-1edc72dd4bdf_ActionId">
    <vt:lpwstr>837cfdd4-7b6b-4ba2-aa11-70e81ecc462e</vt:lpwstr>
  </property>
  <property fmtid="{D5CDD505-2E9C-101B-9397-08002B2CF9AE}" pid="8" name="MSIP_Label_52d06e56-1756-4005-87f1-1edc72dd4bdf_ContentBits">
    <vt:lpwstr>0</vt:lpwstr>
  </property>
  <property fmtid="{D5CDD505-2E9C-101B-9397-08002B2CF9AE}" pid="9" name="MSIP_Label_52d06e56-1756-4005-87f1-1edc72dd4bdf_Tag">
    <vt:lpwstr>10, 3, 0, 1</vt:lpwstr>
  </property>
</Properties>
</file>